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ylan\Documents\git projects\interactive-document\sample-data-files\"/>
    </mc:Choice>
  </mc:AlternateContent>
  <xr:revisionPtr revIDLastSave="0" documentId="13_ncr:1_{841F4E1D-21B5-49E2-BABC-F7D72B19C14B}" xr6:coauthVersionLast="47" xr6:coauthVersionMax="47" xr10:uidLastSave="{00000000-0000-0000-0000-000000000000}"/>
  <bookViews>
    <workbookView xWindow="-120" yWindow="-120" windowWidth="29040" windowHeight="15720" activeTab="1" xr2:uid="{2F7AE6A8-E804-4A69-B58A-3D7D24233BE6}"/>
  </bookViews>
  <sheets>
    <sheet name="CRM Opportunities" sheetId="1" r:id="rId1"/>
    <sheet name="Summary" sheetId="2" r:id="rId2"/>
  </sheets>
  <definedNames>
    <definedName name="Date_EstimatedClose">'CRM Opportunities'!#REF!</definedName>
    <definedName name="Lookups_SalesReps">#REF!</definedName>
    <definedName name="Main_Date_EstimatedClose">'CRM Opportunities'!#REF!</definedName>
    <definedName name="Main_DateCreation">'CRM Opportunities'!#REF!</definedName>
    <definedName name="Main_EstimatedGrossProfit">'CRM Opportunities'!#REF!</definedName>
    <definedName name="Main_EstimatedRevenue">'CRM Opportunities'!#REF!</definedName>
    <definedName name="Main_EstimatedUnits">'CRM Opportunities'!#REF!</definedName>
    <definedName name="Main_OpportunityID">'CRM Opportunities'!$A$2:$A$113</definedName>
    <definedName name="Main_OwnerOfOpportunity">'CRM Opportunities'!#REF!</definedName>
    <definedName name="Main_SalesStage">'CRM Opportunities'!#REF!</definedName>
    <definedName name="PBR_ReferenceDate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3" i="2"/>
  <c r="I2" i="2"/>
  <c r="I4" i="2"/>
  <c r="E5" i="2"/>
  <c r="E4" i="2"/>
  <c r="E3" i="2"/>
  <c r="E2" i="2"/>
  <c r="D5" i="2" a="1"/>
  <c r="D5" i="2" s="1"/>
  <c r="D4" i="2" a="1"/>
  <c r="D4" i="2" s="1"/>
  <c r="D3" i="2" a="1"/>
  <c r="D3" i="2" s="1"/>
  <c r="D2" i="2" a="1"/>
  <c r="D2" i="2" s="1"/>
  <c r="C5" i="2"/>
  <c r="C4" i="2"/>
  <c r="C3" i="2"/>
  <c r="C2" i="2"/>
</calcChain>
</file>

<file path=xl/sharedStrings.xml><?xml version="1.0" encoding="utf-8"?>
<sst xmlns="http://schemas.openxmlformats.org/spreadsheetml/2006/main" count="2349" uniqueCount="961">
  <si>
    <t>Account</t>
  </si>
  <si>
    <t>Account Number</t>
  </si>
  <si>
    <t>Street1</t>
  </si>
  <si>
    <t>Street2</t>
  </si>
  <si>
    <t>City</t>
  </si>
  <si>
    <t>State</t>
  </si>
  <si>
    <t>Postal Code</t>
  </si>
  <si>
    <t>Industry</t>
  </si>
  <si>
    <t>Contact</t>
  </si>
  <si>
    <t>Contact Role</t>
  </si>
  <si>
    <t>Contact Email</t>
  </si>
  <si>
    <t>Contact Business Phone</t>
  </si>
  <si>
    <t>Contact Mobile Phone</t>
  </si>
  <si>
    <t>Opportunity Type</t>
  </si>
  <si>
    <t>Brand</t>
  </si>
  <si>
    <t>Department</t>
  </si>
  <si>
    <t>Product Segment</t>
  </si>
  <si>
    <t>Est. Revenue</t>
  </si>
  <si>
    <t>Est. Gross Profit</t>
  </si>
  <si>
    <t>Est. Units</t>
  </si>
  <si>
    <t>Sales Stage</t>
  </si>
  <si>
    <t>Est. Close Date</t>
  </si>
  <si>
    <t>Owner</t>
  </si>
  <si>
    <t>Status</t>
  </si>
  <si>
    <t>Status Reason</t>
  </si>
  <si>
    <t>Created On</t>
  </si>
  <si>
    <t>Modified On</t>
  </si>
  <si>
    <t>Status Comments</t>
  </si>
  <si>
    <t>Description</t>
  </si>
  <si>
    <t>Unique Id</t>
  </si>
  <si>
    <t>Fallback</t>
  </si>
  <si>
    <t>A S Trucking Co</t>
  </si>
  <si>
    <t>20-ASTMAS01</t>
  </si>
  <si>
    <t>12990 Barrs Rd Sw</t>
  </si>
  <si>
    <t>Massillon</t>
  </si>
  <si>
    <t>OH</t>
  </si>
  <si>
    <t>44647</t>
  </si>
  <si>
    <t>Transportation</t>
  </si>
  <si>
    <t>New Business</t>
  </si>
  <si>
    <t>Chevron</t>
  </si>
  <si>
    <t>Cardlock</t>
  </si>
  <si>
    <t>(nothing)</t>
  </si>
  <si>
    <t>1 - Qualify</t>
  </si>
  <si>
    <t>10/31/2019</t>
  </si>
  <si>
    <t>Open</t>
  </si>
  <si>
    <t>In Progress</t>
  </si>
  <si>
    <t>5/7/2019 10:26 AM</t>
  </si>
  <si>
    <t>8/30/2019</t>
  </si>
  <si>
    <t>5/7 - 1 cardlock for 1 driver (owner). app 1200-1400 per month</t>
  </si>
  <si>
    <t>e5d75d08-d470-e911-a957-000d3a36ed4e</t>
  </si>
  <si>
    <t>No</t>
  </si>
  <si>
    <t>Ashland County Sheriff Office</t>
  </si>
  <si>
    <t>40-4660046</t>
  </si>
  <si>
    <t>1205 E. Main Street</t>
  </si>
  <si>
    <t>Ashland</t>
  </si>
  <si>
    <t>44805</t>
  </si>
  <si>
    <t>Government / Municipality</t>
  </si>
  <si>
    <t>Carl Richert</t>
  </si>
  <si>
    <t>crichert@ashlandcounty.org</t>
  </si>
  <si>
    <t>419-289-3911</t>
  </si>
  <si>
    <t xml:space="preserve">419-651-0435 </t>
  </si>
  <si>
    <t>Lubricants</t>
  </si>
  <si>
    <t>HDMO</t>
  </si>
  <si>
    <t>12/31/2019</t>
  </si>
  <si>
    <t>9/18/2019 11:42 AM</t>
  </si>
  <si>
    <t>9/18/2019</t>
  </si>
  <si>
    <t>9/18/19 - Starfire Full syn 520 in 55/1</t>
  </si>
  <si>
    <t>cbdd1fef-2ada-e911-a960-000d3a36e9be</t>
  </si>
  <si>
    <t>B&amp;L Transport, Inc</t>
  </si>
  <si>
    <t>CRM Account Only</t>
  </si>
  <si>
    <t>Wilmont</t>
  </si>
  <si>
    <t>8/16/2019 6:09 AM</t>
  </si>
  <si>
    <t>8/16/2019</t>
  </si>
  <si>
    <t>98a600f0-0dc0-e911-a95c-000d3a36ed4e</t>
  </si>
  <si>
    <t>Beachy, Willis Trucking</t>
  </si>
  <si>
    <t>40-9180034</t>
  </si>
  <si>
    <t>10557 Soehnlen Rd, Nw</t>
  </si>
  <si>
    <t>Beach City</t>
  </si>
  <si>
    <t>44608</t>
  </si>
  <si>
    <t>Commercial / Business</t>
  </si>
  <si>
    <t>2 - Needs &amp; Solutions</t>
  </si>
  <si>
    <t>8/27/2019 8:33 AM</t>
  </si>
  <si>
    <t>8/27/2019</t>
  </si>
  <si>
    <t>daca89cc-c6c8-e911-a95b-000d3a36e933</t>
  </si>
  <si>
    <t>Big E Trucking</t>
  </si>
  <si>
    <t>1107 Marion Ave. SW</t>
  </si>
  <si>
    <t>Canton</t>
  </si>
  <si>
    <t>44707</t>
  </si>
  <si>
    <t>Edward Rohr</t>
  </si>
  <si>
    <t>bigetrucking@yahoo.com</t>
  </si>
  <si>
    <t xml:space="preserve">330-418-2769 </t>
  </si>
  <si>
    <t>3 - Presentation</t>
  </si>
  <si>
    <t>4/18/2018 9:31 AM</t>
  </si>
  <si>
    <t>8/14/2019</t>
  </si>
  <si>
    <t>5/10 - Emailed Ed re drum of 15w40 order per 5/1 nts
5/1 - TT Ed, will be ready end of nxt week for drum order. Will be doing oil changes this weekend
4-18 - TT Ed, was on the road when I called. Req quote for drum of 15w-40, FU in 2 wks. bigetrucking@yahoo.com. Willing to talk, good opp for future. **Call on cell 330-418-2769 
Right up the street from S. Canton SCFN. Could be good for SCFN and Lubes</t>
  </si>
  <si>
    <t>5/1 - TT Ed, will be ready end of nxt week for drum order. Will be doing oil changes this weekend
4-18 - TT Ed, was on the road when I called. Req quote for drum of 15w-40, FU in 2 wks. bigetrucking@yahoo.com. Willing to talk, good opp for future. **Call on cell 330-418-2769 
Right up the street from S. Canton SCFN. Could be good for SCFN and Lubes</t>
  </si>
  <si>
    <t>c01c5ddb-0c43-e811-8113-e0071b6a12c1</t>
  </si>
  <si>
    <t xml:space="preserve">Brandon Lines </t>
  </si>
  <si>
    <t xml:space="preserve">Canton </t>
  </si>
  <si>
    <t xml:space="preserve">Oh </t>
  </si>
  <si>
    <t>Joni .</t>
  </si>
  <si>
    <t>jonibolam37@aol.com</t>
  </si>
  <si>
    <t>330-454-7090</t>
  </si>
  <si>
    <t>8/14/2019 9:04 AM</t>
  </si>
  <si>
    <t xml:space="preserve">Will call for pricing </t>
  </si>
  <si>
    <t>8f8bd1fd-93be-e911-a959-000d3a36e933</t>
  </si>
  <si>
    <t>Brechbuhler Scales</t>
  </si>
  <si>
    <t>1414 scales ave</t>
  </si>
  <si>
    <t>jo-ann B</t>
  </si>
  <si>
    <t>330-453-2424</t>
  </si>
  <si>
    <t>Share of Wallet</t>
  </si>
  <si>
    <t>4/14/2016 4:46 PM</t>
  </si>
  <si>
    <t>4/21/2017</t>
  </si>
  <si>
    <t>we sell fuel, quoting lubes, using Castrol 1540. Sold them DEF, working on lubes- PC-11
keep call her and set up appoint</t>
  </si>
  <si>
    <t>973a00f5-8102-e611-80f9-3863bb2e7268</t>
  </si>
  <si>
    <t>Brian A Burt</t>
  </si>
  <si>
    <t>20-BURNEW02</t>
  </si>
  <si>
    <t>196 Chenango Rd S</t>
  </si>
  <si>
    <t>New London</t>
  </si>
  <si>
    <t>44851</t>
  </si>
  <si>
    <t>Agricultural</t>
  </si>
  <si>
    <t>Brian Burt</t>
  </si>
  <si>
    <t>bffshorthorns@yahoo.com</t>
  </si>
  <si>
    <t>419-541-7817</t>
  </si>
  <si>
    <t>12/30/2019</t>
  </si>
  <si>
    <t>9/10/2019 10:27 AM</t>
  </si>
  <si>
    <t>9/10/2019</t>
  </si>
  <si>
    <t>9/10 - 30-40 glns URSA and Delo 400</t>
  </si>
  <si>
    <t>6d4b490a-d7d3-e911-a95b-000d3a36e933</t>
  </si>
  <si>
    <t>BT-CIOFFI Construction</t>
  </si>
  <si>
    <t>Akron</t>
  </si>
  <si>
    <t>Construction</t>
  </si>
  <si>
    <t>8/14/2019 9:01 AM</t>
  </si>
  <si>
    <t>8/17/2019</t>
  </si>
  <si>
    <t xml:space="preserve">Frank Cioffi (fuel) - (330) 604-4307 libertyredimix@gmail.com
Dominic Cioffi (lubes) - (330) 608-7735 dcioffi@ciofficonstruction.com 
opening cash account - start quoting on fuel.
</t>
  </si>
  <si>
    <t>b0d7e3a9-93be-e911-a959-000d3a36e933</t>
  </si>
  <si>
    <t>Cinnamon Lake Utility</t>
  </si>
  <si>
    <t>20-CINWES01</t>
  </si>
  <si>
    <t>1443 Laurel Dr</t>
  </si>
  <si>
    <t>West Salem</t>
  </si>
  <si>
    <t>44287</t>
  </si>
  <si>
    <t>Other</t>
  </si>
  <si>
    <t>Jim Smith</t>
  </si>
  <si>
    <t>1016jamessmith@gmail.com</t>
  </si>
  <si>
    <t xml:space="preserve">419-945-2687 </t>
  </si>
  <si>
    <t>9/10/2019 2:13 PM</t>
  </si>
  <si>
    <t>9/10 - 5 gallon ea (ord 2x/month), of 1540 Delo or URSA</t>
  </si>
  <si>
    <t>192ff6a4-f6d3-e911-a95b-000d3a36e933</t>
  </si>
  <si>
    <t>City of Wadsworth</t>
  </si>
  <si>
    <t>20-CITWAD01</t>
  </si>
  <si>
    <t>311 Broad Street</t>
  </si>
  <si>
    <t>Wadsworth</t>
  </si>
  <si>
    <t>44281</t>
  </si>
  <si>
    <t>Bill Heckler</t>
  </si>
  <si>
    <t>bheckler@wadsworthcity.org</t>
  </si>
  <si>
    <t xml:space="preserve">330-335-2840 </t>
  </si>
  <si>
    <t>5/9/2019 2:09 PM</t>
  </si>
  <si>
    <t>8/23/2019</t>
  </si>
  <si>
    <t>5/9 - Bulk DEF, Delo 400 1540, bulk &amp; Delo 5/20 in bulk. 275 gln tanks for each, app 2200 glns combined per year, Brake cleaner *might need to be different brand than Chev, 55/1 ATF, 55/1 ATF 2x per yr,  50/50 in bulk totes</t>
  </si>
  <si>
    <t>56b612a3-8572-e911-a952-000d3a36eaef</t>
  </si>
  <si>
    <t>Cleveland Express Trucking</t>
  </si>
  <si>
    <t>20-CLECLE01</t>
  </si>
  <si>
    <t>3091 Rockfeller Ave</t>
  </si>
  <si>
    <t>Cleveland</t>
  </si>
  <si>
    <t>44115</t>
  </si>
  <si>
    <t>Gary Marquard</t>
  </si>
  <si>
    <t>garym@cetrucks.com</t>
  </si>
  <si>
    <t>216-348-1007</t>
  </si>
  <si>
    <t>DEF</t>
  </si>
  <si>
    <t>2/28/2020</t>
  </si>
  <si>
    <t>9/10/2019 3:54 PM</t>
  </si>
  <si>
    <t>9/10 - bulk DEF, 275 gln totes app 1x per month (priced @ 1.49/gallon)</t>
  </si>
  <si>
    <t>d3e5dccd-04d4-e911-a95b-000d3a36e933</t>
  </si>
  <si>
    <t>Gear Oil</t>
  </si>
  <si>
    <t>11/28/2019</t>
  </si>
  <si>
    <t>9/11/2019 11:26 AM</t>
  </si>
  <si>
    <t>10/14/2019</t>
  </si>
  <si>
    <t>9/10 - 80/90 gear oil in 35 gallon containers, also 50 synth trans fluid same amount</t>
  </si>
  <si>
    <t>205ab58c-a8d4-e911-a95f-000d3a36eaef</t>
  </si>
  <si>
    <t>ConAgg Logistics</t>
  </si>
  <si>
    <t>44708</t>
  </si>
  <si>
    <t>Marty Suarez</t>
  </si>
  <si>
    <t>330-454-7540</t>
  </si>
  <si>
    <t>330-437-5171</t>
  </si>
  <si>
    <t>12/23/2016 11:05 AM</t>
  </si>
  <si>
    <t>5/21 - TT Marty, Bob N/a, LM for him to discuss lube opps</t>
  </si>
  <si>
    <t>ed406c9f-29c9-e611-80f7-5065f38b5171</t>
  </si>
  <si>
    <t>Coshocton Trucking</t>
  </si>
  <si>
    <t>2702 s.6th st.</t>
  </si>
  <si>
    <t>Coshocton</t>
  </si>
  <si>
    <t>glenn b</t>
  </si>
  <si>
    <t>740-622-1311</t>
  </si>
  <si>
    <t>4/14/2016 4:35 PM</t>
  </si>
  <si>
    <t>Hahn Oil used to sell, now buying from RJ wright, should be able to get them back, as they were buying Chevron previously. terry called again. PC-11 new oil
ask matt</t>
  </si>
  <si>
    <t>61bc495d-8002-e611-80f9-3863bb2e7268</t>
  </si>
  <si>
    <t>Dalton Local Schools</t>
  </si>
  <si>
    <t>20-DALDAL01</t>
  </si>
  <si>
    <t>Po Box 514</t>
  </si>
  <si>
    <t>Dalton</t>
  </si>
  <si>
    <t>44618</t>
  </si>
  <si>
    <t>Jason Byrnes</t>
  </si>
  <si>
    <t>jbyrnes@daltonlocal.org</t>
  </si>
  <si>
    <t>330-828-2267</t>
  </si>
  <si>
    <t xml:space="preserve">330-828-2410 </t>
  </si>
  <si>
    <t>9/30/2019</t>
  </si>
  <si>
    <t>8/14/2019 8:21 AM</t>
  </si>
  <si>
    <t>8/14 - Chev URSA 1540 in 55/1</t>
  </si>
  <si>
    <t>d860a303-8ebe-e911-a95c-000d3a36ed4e</t>
  </si>
  <si>
    <t>Dan Gasser/ Canaan Farms</t>
  </si>
  <si>
    <t>20-GASCRE03</t>
  </si>
  <si>
    <t>2556 E Easton Rd</t>
  </si>
  <si>
    <t>Creston</t>
  </si>
  <si>
    <t>44217</t>
  </si>
  <si>
    <t>Kraig Gasser</t>
  </si>
  <si>
    <t>92gass@gmail.com</t>
  </si>
  <si>
    <t>330-317-7665</t>
  </si>
  <si>
    <t>7/19/2019 9:35 AM</t>
  </si>
  <si>
    <t>7/19 - DEF in totes, app 500 gallons/year, 55/1 of 1540 3x per year, 55/1 of Chev 1000THF, 3x/year, 10/1 of EP2 3x/year</t>
  </si>
  <si>
    <t>e02c5318-2aaa-e911-a95a-000d3a36ed4e</t>
  </si>
  <si>
    <t>David A Shoup Construction</t>
  </si>
  <si>
    <t>20-SHOASH02</t>
  </si>
  <si>
    <t>1076 Twp Rd 1443</t>
  </si>
  <si>
    <t>10/30/2019</t>
  </si>
  <si>
    <t>5/21/2019 2:41 PM</t>
  </si>
  <si>
    <t>5/21 - 55/1 5w30 synblend, 55/1 of Delo 400 1540, 10/1 of EP2, 55/1 of THF 1000</t>
  </si>
  <si>
    <t>aeb76f1c-f87b-e911-a955-000d3a36e990</t>
  </si>
  <si>
    <t>David Mosher</t>
  </si>
  <si>
    <t>20-MOSSHR01</t>
  </si>
  <si>
    <t>7474 Snoddy Rd</t>
  </si>
  <si>
    <t>Shreve</t>
  </si>
  <si>
    <t>44676</t>
  </si>
  <si>
    <t>Propane</t>
  </si>
  <si>
    <t>11/29/2019</t>
  </si>
  <si>
    <t>7/25/2019 9:24 AM</t>
  </si>
  <si>
    <t>7/25 - Fill bulk tank (size?) and inspection for 20# tanks</t>
  </si>
  <si>
    <t>b20e0780-dfae-e911-a95a-000d3a36ed4e</t>
  </si>
  <si>
    <t>Dennis Miller</t>
  </si>
  <si>
    <t>30-Milsal01</t>
  </si>
  <si>
    <t>202 Township Rd. 295</t>
  </si>
  <si>
    <t>Salineville</t>
  </si>
  <si>
    <t>43945</t>
  </si>
  <si>
    <t>Hydraulic Oil</t>
  </si>
  <si>
    <t>8/27/2019 9:49 AM</t>
  </si>
  <si>
    <t xml:space="preserve">8/27 - THF1000 in 55/1 </t>
  </si>
  <si>
    <t>3d9d1468-d1c8-e911-a95d-000d3a36ed4e</t>
  </si>
  <si>
    <t>Dirt Dawg Excavating</t>
  </si>
  <si>
    <t>20-DIRASH01</t>
  </si>
  <si>
    <t>Kevin Kaeser Dba</t>
  </si>
  <si>
    <t>Po Box 1153</t>
  </si>
  <si>
    <t>Kevin Kaeser</t>
  </si>
  <si>
    <t>dirtdawgexcavating@gmail.com</t>
  </si>
  <si>
    <t>419-289-0778</t>
  </si>
  <si>
    <t>8/22/2019 3:51 PM</t>
  </si>
  <si>
    <t>8/22 - 55/1 of Delo and URSA 1540</t>
  </si>
  <si>
    <t>f7ff053b-16c5-e911-a960-000d3a36e9be</t>
  </si>
  <si>
    <t>Dutchmaid Logistics</t>
  </si>
  <si>
    <t>Wilard</t>
  </si>
  <si>
    <t>Darin F</t>
  </si>
  <si>
    <t>darinf@dutchmaid.com</t>
  </si>
  <si>
    <t>419-935-0136</t>
  </si>
  <si>
    <t>8/14/2019 8:57 AM</t>
  </si>
  <si>
    <t>68ec99ff-92be-e911-a959-000d3a36e933</t>
  </si>
  <si>
    <t>Elite Elastomers of Ohio, LLC.</t>
  </si>
  <si>
    <t>1205 E. Bowman St</t>
  </si>
  <si>
    <t>Wooster</t>
  </si>
  <si>
    <t>44691</t>
  </si>
  <si>
    <t>Rick Greenough</t>
  </si>
  <si>
    <t xml:space="preserve">330-264-5553 </t>
  </si>
  <si>
    <t>8/14/2019 8:22 AM</t>
  </si>
  <si>
    <t>d1881f2c-8ebe-e911-a959-000d3a36e933</t>
  </si>
  <si>
    <t>Energy Power Services</t>
  </si>
  <si>
    <t>3251 Brightwood Rd</t>
  </si>
  <si>
    <t>New Philadelphia</t>
  </si>
  <si>
    <t>Ohio</t>
  </si>
  <si>
    <t>44663</t>
  </si>
  <si>
    <t>Lewis Wetherholt</t>
  </si>
  <si>
    <t xml:space="preserve">330-414-6503 </t>
  </si>
  <si>
    <t>8/1/2019 9:14 AM</t>
  </si>
  <si>
    <t>f2707b53-5eb4-e911-a95e-000d3a36e9be</t>
  </si>
  <si>
    <t>Eslich Wrecking</t>
  </si>
  <si>
    <t>3525 Broadway Ave NE</t>
  </si>
  <si>
    <t>Louisville</t>
  </si>
  <si>
    <t>44641</t>
  </si>
  <si>
    <t>Mark Miller</t>
  </si>
  <si>
    <t>330-488-8300</t>
  </si>
  <si>
    <t>7/8/2016 7:33 AM</t>
  </si>
  <si>
    <t>7/27/2017</t>
  </si>
  <si>
    <t>Parent company of Ohio Recycling - large outfit.  Frank has been there once, revisiting week of 9/6</t>
  </si>
  <si>
    <t>Parent of Ohio Recycling</t>
  </si>
  <si>
    <t>901dbecf-ff44-e611-80e3-c4346bdcc2b1</t>
  </si>
  <si>
    <t>Exact Crane</t>
  </si>
  <si>
    <t>28985 Ambina Dr</t>
  </si>
  <si>
    <t>Solon</t>
  </si>
  <si>
    <t>Industrial / Manufacturing</t>
  </si>
  <si>
    <t>3/15/2019 7:32 AM</t>
  </si>
  <si>
    <t>aa75330b-1647-e911-a951-000d3a36e990</t>
  </si>
  <si>
    <t>Extreme Tree</t>
  </si>
  <si>
    <t>Barberton</t>
  </si>
  <si>
    <t>... ...</t>
  </si>
  <si>
    <t xml:space="preserve">330-819-9804 </t>
  </si>
  <si>
    <t>8/14/2019 9:35 AM</t>
  </si>
  <si>
    <t>155aca69-98be-e911-a959-000d3a36e933</t>
  </si>
  <si>
    <t>Father &amp; Son Prop Maintenance</t>
  </si>
  <si>
    <t>20-FATLOU01</t>
  </si>
  <si>
    <t>1639 Ravenna Avenue</t>
  </si>
  <si>
    <t>Austin .</t>
  </si>
  <si>
    <t>fatson3707@aol.com</t>
  </si>
  <si>
    <t xml:space="preserve">330-205-2999 </t>
  </si>
  <si>
    <t>9/26/2019 9:55 AM</t>
  </si>
  <si>
    <t>9/26/2019</t>
  </si>
  <si>
    <t>9/26 - 55/1 URSA 1540, case grease, 5 gln THF, 80/90 gear oil in 55/1, AF 50/50 green in gallons</t>
  </si>
  <si>
    <t>61d6f157-65e0-e911-a95d-000d3a36e933</t>
  </si>
  <si>
    <t>Fechko Excavating</t>
  </si>
  <si>
    <t>20-FECMED01</t>
  </si>
  <si>
    <t>865 W Liberty St</t>
  </si>
  <si>
    <t>Suite 120</t>
  </si>
  <si>
    <t>Medina</t>
  </si>
  <si>
    <t>44256</t>
  </si>
  <si>
    <t>12/27/2018 12:41 PM</t>
  </si>
  <si>
    <t>12/27/2018</t>
  </si>
  <si>
    <t>3b0f8e9d-fe09-e911-a94b-000d3a36e9be</t>
  </si>
  <si>
    <t>Fiber Corr Mills LLC</t>
  </si>
  <si>
    <t>20-FIBMASS01</t>
  </si>
  <si>
    <t>670 17th Street NW</t>
  </si>
  <si>
    <t>Scott Sanders</t>
  </si>
  <si>
    <t>sanders@fibercorr.com</t>
  </si>
  <si>
    <t>330-837-5151</t>
  </si>
  <si>
    <t>3/20/2019 2:33 PM</t>
  </si>
  <si>
    <t>3/20 - 6-8 barrels per month,  app 1-2 120's per week, 1-2 drums HDMO 1540 per month, 1-2 drums per month gear oil</t>
  </si>
  <si>
    <t>5cc0bcad-3e4b-e911-a951-000d3a36e990</t>
  </si>
  <si>
    <t>Fox ASAP, INC.</t>
  </si>
  <si>
    <t>7140 Alliance Rd NW</t>
  </si>
  <si>
    <t>Map Erin</t>
  </si>
  <si>
    <t>44644</t>
  </si>
  <si>
    <t>Automotive</t>
  </si>
  <si>
    <t>Jeremy .</t>
  </si>
  <si>
    <t>330-453-4600</t>
  </si>
  <si>
    <t>8/14/2019 9:02 AM</t>
  </si>
  <si>
    <t>cc1ed5c1-93be-e911-a959-000d3a36e933</t>
  </si>
  <si>
    <t>Fox Lake Power Products</t>
  </si>
  <si>
    <t>20-FOXNOR02</t>
  </si>
  <si>
    <t>6060 Dalton Fox Lake Road</t>
  </si>
  <si>
    <t>North Lawrence</t>
  </si>
  <si>
    <t>44666</t>
  </si>
  <si>
    <t>Ron .</t>
  </si>
  <si>
    <t>330-682-8800</t>
  </si>
  <si>
    <t>Industrial</t>
  </si>
  <si>
    <t>1/1/2020</t>
  </si>
  <si>
    <t>9/26/2019 12:20 PM</t>
  </si>
  <si>
    <t>9/26 - Chevron Way Lubricant 68 in gallons</t>
  </si>
  <si>
    <t>473c2994-79e0-e911-a95d-000d3a36e933</t>
  </si>
  <si>
    <t>FPT Cleveland LLC</t>
  </si>
  <si>
    <t>20-FPTCLE01</t>
  </si>
  <si>
    <t>8550 Aetna Rd</t>
  </si>
  <si>
    <t>44105</t>
  </si>
  <si>
    <t>Mike Morrow</t>
  </si>
  <si>
    <t>michael.morrow@fptscrape.com</t>
  </si>
  <si>
    <t>216-441-3800 ext 138</t>
  </si>
  <si>
    <t>216-218-2075</t>
  </si>
  <si>
    <t>4/10/2015 7:17 AM</t>
  </si>
  <si>
    <t>2/23/2017</t>
  </si>
  <si>
    <t>account opened, sold 1 load of fuel so far.  Nice oil potential, setting up meeting with Walton. Using all Mobil</t>
  </si>
  <si>
    <t>fb3cd21f-73df-e411-80f2-c4346bac6974</t>
  </si>
  <si>
    <t>Galehouse Lumber</t>
  </si>
  <si>
    <t>20-GALDOY02</t>
  </si>
  <si>
    <t>12667 Portage St</t>
  </si>
  <si>
    <t>Po Box 267</t>
  </si>
  <si>
    <t>Doylestown</t>
  </si>
  <si>
    <t>44230</t>
  </si>
  <si>
    <t>Bob Britton</t>
  </si>
  <si>
    <t>bobbritton1969@gmail.com</t>
  </si>
  <si>
    <t>330-658-2023</t>
  </si>
  <si>
    <t>10/1/2019</t>
  </si>
  <si>
    <t>7/31/2019 12:05 PM</t>
  </si>
  <si>
    <t>7/31/2019</t>
  </si>
  <si>
    <t>7/31 - 150 jugs DEF (1-2 pallets per year)</t>
  </si>
  <si>
    <t>cec0dd08-adb3-e911-a95e-000d3a36e9be</t>
  </si>
  <si>
    <t>GOJO Industries, Inc</t>
  </si>
  <si>
    <t>20-GOJCUY01</t>
  </si>
  <si>
    <t>200 E. Steels Corners Rd.</t>
  </si>
  <si>
    <t>Cuyahoga Falls</t>
  </si>
  <si>
    <t>44224</t>
  </si>
  <si>
    <t>8/14/2019 7:53 AM</t>
  </si>
  <si>
    <t>5403cb16-8abe-e911-a959-000d3a36e933</t>
  </si>
  <si>
    <t>Great Lakes Construction Co.</t>
  </si>
  <si>
    <t>2608 Great Lakes Way</t>
  </si>
  <si>
    <t>Hinckley</t>
  </si>
  <si>
    <t>44233</t>
  </si>
  <si>
    <t xml:space="preserve">330-220-3900 </t>
  </si>
  <si>
    <t>8/14/2019 8:41 AM</t>
  </si>
  <si>
    <t>P+8--Diesel
P+5--Reg</t>
  </si>
  <si>
    <t>860b0dc1-90be-e911-a959-000d3a36e933</t>
  </si>
  <si>
    <t>Happy Valley Trucking</t>
  </si>
  <si>
    <t>6820 Short Drive Rd.</t>
  </si>
  <si>
    <t>Dover</t>
  </si>
  <si>
    <t>6/30/2019</t>
  </si>
  <si>
    <t>12/14/2018 4:02 PM</t>
  </si>
  <si>
    <t>8/3/2019</t>
  </si>
  <si>
    <t>ae43c67e-e3ff-e811-a94c-000d3a36ed49</t>
  </si>
  <si>
    <t>Yes</t>
  </si>
  <si>
    <t>Harry Burke</t>
  </si>
  <si>
    <t>20-BURASH09</t>
  </si>
  <si>
    <t>768 Township Rd 1102</t>
  </si>
  <si>
    <t>Fuel</t>
  </si>
  <si>
    <t>9/17/2019 10:42 AM</t>
  </si>
  <si>
    <t>9/17/2019</t>
  </si>
  <si>
    <t>9/17 - 275 glns off road</t>
  </si>
  <si>
    <t>de067c67-59d9-e911-a95c-000d3a36e990</t>
  </si>
  <si>
    <t>Heritage Truck Equipment, Inc.</t>
  </si>
  <si>
    <t>661 Powell Ave.</t>
  </si>
  <si>
    <t>Hartville</t>
  </si>
  <si>
    <t>Ryan Friend</t>
  </si>
  <si>
    <t xml:space="preserve">330-699-4491 </t>
  </si>
  <si>
    <t>8/14/2019 8:03 AM</t>
  </si>
  <si>
    <t>e50c447a-8bbe-e911-a959-000d3a36e933</t>
  </si>
  <si>
    <t>Highway Equipment Company</t>
  </si>
  <si>
    <t>1405 Timken Place SW</t>
  </si>
  <si>
    <t>44706</t>
  </si>
  <si>
    <t>Ray Leonard</t>
  </si>
  <si>
    <t>rleonard@highway_equipment.com</t>
  </si>
  <si>
    <t>330-915-8391</t>
  </si>
  <si>
    <t>7/7/2016 3:31 PM</t>
  </si>
  <si>
    <t>3/10/2017</t>
  </si>
  <si>
    <t>Ray Leonard - quoted them on some equipment.  Using Macintosh oil - got all products.  Final decisions are made in PA at HQ.  Will quote soon.</t>
  </si>
  <si>
    <t>bfb7a26c-7944-e611-80e0-c4346bdc4271</t>
  </si>
  <si>
    <t>HsH Construction &amp; Exv. Inc.</t>
  </si>
  <si>
    <t>20-HSHWAD01</t>
  </si>
  <si>
    <t>900 State St.</t>
  </si>
  <si>
    <t>44282</t>
  </si>
  <si>
    <t>Dan Vinez</t>
  </si>
  <si>
    <t>dan@hshexcavatinginc.com</t>
  </si>
  <si>
    <t xml:space="preserve">330-335-5795 </t>
  </si>
  <si>
    <t>1/31/2019</t>
  </si>
  <si>
    <t>6/18/2018 11:48 AM</t>
  </si>
  <si>
    <t>6/18 - Dan emailed quote req for DEF in cases, 5 gallons ea case</t>
  </si>
  <si>
    <t>6/18 - DEF, 2-2.5 gallon jugs, 8.99/jug</t>
  </si>
  <si>
    <t>31a80f00-0f73-e811-a838-000d3a33b56b</t>
  </si>
  <si>
    <t>Ivan Extruders</t>
  </si>
  <si>
    <t>20-EXTAKR01</t>
  </si>
  <si>
    <t>2404 Pickle Road</t>
  </si>
  <si>
    <t>44312</t>
  </si>
  <si>
    <t>6/13/2019 11:42 AM</t>
  </si>
  <si>
    <t>6/13 - 5/1 of Soluble B</t>
  </si>
  <si>
    <t>fd6ed2d9-f18d-e911-a954-000d3a36e933</t>
  </si>
  <si>
    <t>J.W. Didado</t>
  </si>
  <si>
    <t>8/16/2019 6:56 AM</t>
  </si>
  <si>
    <t>42f15582-14c0-e911-a95c-000d3a36ed4e</t>
  </si>
  <si>
    <t>JAE Tech, Inc.</t>
  </si>
  <si>
    <t>32 Hunter St</t>
  </si>
  <si>
    <t>Apple Creek</t>
  </si>
  <si>
    <t>Dean Slagle</t>
  </si>
  <si>
    <t xml:space="preserve">330-698-2000 </t>
  </si>
  <si>
    <t>8/14/2019 8:27 AM</t>
  </si>
  <si>
    <t>364e56db-8ebe-e911-a959-000d3a36e933</t>
  </si>
  <si>
    <t>James Marty</t>
  </si>
  <si>
    <t>20-MARRIT01</t>
  </si>
  <si>
    <t>9825 Steiner Rd</t>
  </si>
  <si>
    <t>Rittman</t>
  </si>
  <si>
    <t>44270</t>
  </si>
  <si>
    <t>Greg Bachman</t>
  </si>
  <si>
    <t>330-925-5701</t>
  </si>
  <si>
    <t xml:space="preserve">330-439-3149 </t>
  </si>
  <si>
    <t>9/24/2019 3:45 PM</t>
  </si>
  <si>
    <t>9/24/19 - app 300 gallons each 87 eth and off road</t>
  </si>
  <si>
    <t>f5cee7cb-03df-e911-a95d-000d3a36ed49</t>
  </si>
  <si>
    <t>Jamison Drilling</t>
  </si>
  <si>
    <t>20-JAMMAN01</t>
  </si>
  <si>
    <t>258 Central Ave</t>
  </si>
  <si>
    <t>Mansfield</t>
  </si>
  <si>
    <t>44905</t>
  </si>
  <si>
    <t>12/3/2018 9:31 PM</t>
  </si>
  <si>
    <t>12/4/2018</t>
  </si>
  <si>
    <t>5668d5b7-6cf7-e811-a84e-000d3a33b3be</t>
  </si>
  <si>
    <t>JMT Cartage Inc.</t>
  </si>
  <si>
    <t>20-JMTCAN01</t>
  </si>
  <si>
    <t>4925 Southway St. SW</t>
  </si>
  <si>
    <t>2/28/2019</t>
  </si>
  <si>
    <t>2/9/2018 11:04 AM</t>
  </si>
  <si>
    <t xml:space="preserve">6/6 - Spoke w/ Dillis, wide open for visit 6/7 or 6/8 at the shop for lube discussion, 1540. Sent email to Nate and Dan for follow up and make sure we're not doubling up on visits.
4/30 - TT Dillis, ok with pricing for 15w40. Uses 1st Choice and app 250 gallons/ 3 mths. OK with call from Nate/Dan to discuss and possibly set up meeting re lube, antifreeze, DEF. Sent email to Nate/Dan to inform. 
</t>
  </si>
  <si>
    <t>37aa8ef8-b20d-e811-811a-e0071b671081</t>
  </si>
  <si>
    <t>John Bogavich</t>
  </si>
  <si>
    <t>20-BOGWOO02</t>
  </si>
  <si>
    <t>9631 Ashland Road</t>
  </si>
  <si>
    <t>6/4/2019 10:41 AM</t>
  </si>
  <si>
    <t>6/4/2019</t>
  </si>
  <si>
    <t>6/4 - Bulk 5/20 Chev synblend</t>
  </si>
  <si>
    <t>437ee0ce-d686-e911-a957-000d3a36e9be</t>
  </si>
  <si>
    <t>John Boreman</t>
  </si>
  <si>
    <t>20-BORWOO04</t>
  </si>
  <si>
    <t>2628  N Firestone Rd</t>
  </si>
  <si>
    <t>Equipment</t>
  </si>
  <si>
    <t>4/30/2019 10:05 AM</t>
  </si>
  <si>
    <t>8/5 - John still int in tank per 4/30 nts, CB mid-sept
4/30 - 500 gallon propane tank</t>
  </si>
  <si>
    <t>f0c6a612-516b-e911-a954-000d3a36e990</t>
  </si>
  <si>
    <t>John S Gimm Inc</t>
  </si>
  <si>
    <t>20-JOHMED01</t>
  </si>
  <si>
    <t>4559 Abbeyville Rd</t>
  </si>
  <si>
    <t>12/27/2018 12:49 PM</t>
  </si>
  <si>
    <t>16fbc0b1-ff09-e911-a94b-000d3a36e9be</t>
  </si>
  <si>
    <t>Kenneth Eberly</t>
  </si>
  <si>
    <t>20-EBEDAL01</t>
  </si>
  <si>
    <t>18274 Jericho Rd</t>
  </si>
  <si>
    <t>8/26/2019 12:32 PM</t>
  </si>
  <si>
    <t>8/26/2019</t>
  </si>
  <si>
    <t>8/26 - 300 gln off road</t>
  </si>
  <si>
    <t>22405017-1fc8-e911-a95c-000d3a36e990</t>
  </si>
  <si>
    <t>Kuntz Rick Trucking</t>
  </si>
  <si>
    <t>9056 State Route 88</t>
  </si>
  <si>
    <t>Windham</t>
  </si>
  <si>
    <t>44288</t>
  </si>
  <si>
    <t xml:space="preserve">330-527-4928 </t>
  </si>
  <si>
    <t>8/14/2019 8:45 AM</t>
  </si>
  <si>
    <t>CLEV P+8--ALL</t>
  </si>
  <si>
    <t>bb3cab6c-91be-e911-a959-000d3a36e933</t>
  </si>
  <si>
    <t>Lindsay Concrete Products</t>
  </si>
  <si>
    <t>6845 Erie Ave N.W.</t>
  </si>
  <si>
    <t>Canal Fulton</t>
  </si>
  <si>
    <t>44614</t>
  </si>
  <si>
    <t>Duane Bennett</t>
  </si>
  <si>
    <t>info@lindsayconcrete.com</t>
  </si>
  <si>
    <t xml:space="preserve">330-854-4511 </t>
  </si>
  <si>
    <t>12/4/2018 8:07 AM</t>
  </si>
  <si>
    <t>9090a392-c5f7-e811-a850-000d3a33b3a3</t>
  </si>
  <si>
    <t>M&amp;B Trucking Express</t>
  </si>
  <si>
    <t>27060 Royalton Road</t>
  </si>
  <si>
    <t>Columbia Station</t>
  </si>
  <si>
    <t>44028</t>
  </si>
  <si>
    <t>Mike Bagi</t>
  </si>
  <si>
    <t>mbagi@mbtrucking.com</t>
  </si>
  <si>
    <t>440-236-8820</t>
  </si>
  <si>
    <t>12/11/2018 10:59 AM</t>
  </si>
  <si>
    <t>12/11/2018</t>
  </si>
  <si>
    <t>Transport loads on road cpl times/month. 16K gallon tank. Also 1K off road per order</t>
  </si>
  <si>
    <t>32d388cc-5dfd-e811-a94b-000d3a36eaef</t>
  </si>
  <si>
    <t>Mack Industries</t>
  </si>
  <si>
    <t>1321 Industrial Parkway N</t>
  </si>
  <si>
    <t>Brunswick</t>
  </si>
  <si>
    <t>Terry Leslie</t>
  </si>
  <si>
    <t xml:space="preserve">330-350-2989 </t>
  </si>
  <si>
    <t>7/30/2019 2:56 PM</t>
  </si>
  <si>
    <t>7/30 - 1540 in 275 gln totes 1/mth and 1030 in drums a few times per year. Start with Starfire, move to URSA/Delo. Uses house brand from Farley now (5-star), gear oil in totes, AF totes, hyd oil 55/1</t>
  </si>
  <si>
    <t>fcfa15b0-fbb2-e911-a959-000d3a36e990</t>
  </si>
  <si>
    <t>Mack Trucks/Mid Ohio Valley Bulk Transport</t>
  </si>
  <si>
    <t>14949 State Route 7</t>
  </si>
  <si>
    <t>Marietta</t>
  </si>
  <si>
    <t>45750</t>
  </si>
  <si>
    <t>8/23/2019 10:44 AM</t>
  </si>
  <si>
    <t>24b3d883-b4c5-e911-a95b-000d3a36e933</t>
  </si>
  <si>
    <t>Maynard Beachy Trucking</t>
  </si>
  <si>
    <t>40-46040363</t>
  </si>
  <si>
    <t>P.O. Box 768</t>
  </si>
  <si>
    <t>4798 SR 93 NW</t>
  </si>
  <si>
    <t>Sugarcreek</t>
  </si>
  <si>
    <t>44681-8088</t>
  </si>
  <si>
    <t>Maynard Beachy</t>
  </si>
  <si>
    <t>rbeachy23@aol.com</t>
  </si>
  <si>
    <t>330-852-4876</t>
  </si>
  <si>
    <t>5/31/2019</t>
  </si>
  <si>
    <t>4/17/2019 2:39 PM</t>
  </si>
  <si>
    <t>4/24/2019</t>
  </si>
  <si>
    <t>4/17 - 20-22 new RR cards for Maynard</t>
  </si>
  <si>
    <t>859b6e24-4061-e911-a956-000d3a36ed4e</t>
  </si>
  <si>
    <t>Mid-Ohio Paving</t>
  </si>
  <si>
    <t>6095 Columbus Rd</t>
  </si>
  <si>
    <t>Centerburg</t>
  </si>
  <si>
    <t>Jim Nichols</t>
  </si>
  <si>
    <t>740-625-5045</t>
  </si>
  <si>
    <t>8/22/2019 8:56 PM</t>
  </si>
  <si>
    <t>Paving company. 15-20 trucks and 10 minutes south of mount Vernon. Using fuller oil to fill tanks on site</t>
  </si>
  <si>
    <t>cae3e5d9-40c5-e911-a95b-000d3a36e933</t>
  </si>
  <si>
    <t>Milliron Recycling</t>
  </si>
  <si>
    <t>mansfield</t>
  </si>
  <si>
    <t>jeff d</t>
  </si>
  <si>
    <t>800-921-0054</t>
  </si>
  <si>
    <t>11/27/2015 3:18 PM</t>
  </si>
  <si>
    <t>talked to them about fuel prices max cap.  will look at lubes, they are price shoppers.</t>
  </si>
  <si>
    <t>set appoint 25th or 26gth</t>
  </si>
  <si>
    <t>692650f3-4395-e511-80e3-3863bb2e7268</t>
  </si>
  <si>
    <t>Minerva Enterprises</t>
  </si>
  <si>
    <t>8955 Minerva Rd</t>
  </si>
  <si>
    <t>Waynesburg</t>
  </si>
  <si>
    <t>44688</t>
  </si>
  <si>
    <t>11/30/2017 8:32 AM</t>
  </si>
  <si>
    <t>d508b6ea-d2d5-e711-812c-e0071b6af211</t>
  </si>
  <si>
    <t>Mitchell A Garver</t>
  </si>
  <si>
    <t>20-GARNOV02</t>
  </si>
  <si>
    <t>446 State Route 511</t>
  </si>
  <si>
    <t>Nova</t>
  </si>
  <si>
    <t>44859</t>
  </si>
  <si>
    <t>Mitchell Garver</t>
  </si>
  <si>
    <t>mitchg1978@yahoo.com</t>
  </si>
  <si>
    <t>419-651-5195</t>
  </si>
  <si>
    <t>6/13/2019 7:43 AM</t>
  </si>
  <si>
    <t>8/19 - 55/1 URSA 1540, 55/1 THF, 6 gallons CAANTI antifreeze, gear oil</t>
  </si>
  <si>
    <t>1f9cfd62-d08d-e911-a957-000d3a36e9be</t>
  </si>
  <si>
    <t>6/13/2019 7:56 AM</t>
  </si>
  <si>
    <t>8/20/2019</t>
  </si>
  <si>
    <t>8/19 - 55/1 1000 THF</t>
  </si>
  <si>
    <t>7b196f44-d28d-e911-a957-000d3a36e9be</t>
  </si>
  <si>
    <t>6/13/2019 8:06 AM</t>
  </si>
  <si>
    <t>8/19 - 55/1 of 80/90 hyd oil</t>
  </si>
  <si>
    <t>abf8cba5-d38d-e911-a957-000d3a36e9be</t>
  </si>
  <si>
    <t>Antifreeze</t>
  </si>
  <si>
    <t>8/20/2019 8:22 AM</t>
  </si>
  <si>
    <t xml:space="preserve">8/19 - 6/1 of CAANTI green </t>
  </si>
  <si>
    <t>2b293123-45c3-e911-a95f-000d3a36e9be</t>
  </si>
  <si>
    <t>Naturescapes Design LLC</t>
  </si>
  <si>
    <t>20-NATCAN01</t>
  </si>
  <si>
    <t>4540 Southway St. SW</t>
  </si>
  <si>
    <t>8/31/2019</t>
  </si>
  <si>
    <t>8/3/2019 10:52 AM</t>
  </si>
  <si>
    <t>Needing 15w-40 and wants to have a tank instead of buying buckets and drums</t>
  </si>
  <si>
    <t>0d0b765b-feb5-e911-a958-000d3a36ed49</t>
  </si>
  <si>
    <t>Next Generation Fuel LLC</t>
  </si>
  <si>
    <t>20-NEXMID01</t>
  </si>
  <si>
    <t>3589 Commerce Drive</t>
  </si>
  <si>
    <t>Middletown</t>
  </si>
  <si>
    <t>45005</t>
  </si>
  <si>
    <t>Bernita .</t>
  </si>
  <si>
    <t>bernita@nxtgenfuel.com</t>
  </si>
  <si>
    <t>888-410-6448</t>
  </si>
  <si>
    <t>1/31/2020</t>
  </si>
  <si>
    <t>10/9/2019 1:15 PM</t>
  </si>
  <si>
    <t>10/9/2019</t>
  </si>
  <si>
    <t>10/9 - 2-350 gallon totes DEF filled 2x per mth</t>
  </si>
  <si>
    <t>57c7185f-b8ea-e911-a95d-000d3a36e933</t>
  </si>
  <si>
    <t>10/4/2019 8:49 AM</t>
  </si>
  <si>
    <t>10/4 - Wet hosing for 37 pieces of equip in Toledo area, 1-1.5K gallons per day</t>
  </si>
  <si>
    <t>9a604267-a5e6-e911-a95e-000d3a36e990</t>
  </si>
  <si>
    <t>Northeast Express Service, Inc</t>
  </si>
  <si>
    <t>20-NORGAR02</t>
  </si>
  <si>
    <t>9061 OH-88</t>
  </si>
  <si>
    <t>2/11/2018 9:06 PM</t>
  </si>
  <si>
    <t>2/12/2018</t>
  </si>
  <si>
    <t>726ebb62-990f-e811-811a-e0071b714bd1</t>
  </si>
  <si>
    <t>Norton City Schools</t>
  </si>
  <si>
    <t>4108 Cleveland Massillon Rd</t>
  </si>
  <si>
    <t>Norton</t>
  </si>
  <si>
    <t>44203</t>
  </si>
  <si>
    <t>8/14/2019 9:30 AM</t>
  </si>
  <si>
    <t>7ef2d8b9-97be-e911-a959-000d3a36e933</t>
  </si>
  <si>
    <t>Nutrien Ag Solutions</t>
  </si>
  <si>
    <t>Scott Ruck</t>
  </si>
  <si>
    <t xml:space="preserve">440-415-4579 </t>
  </si>
  <si>
    <t>10/14/2019 9:22 AM</t>
  </si>
  <si>
    <t>596758a3-85ee-e911-a95f-000d3a36e990</t>
  </si>
  <si>
    <t>Ohio Farms Packaging Co, LTD</t>
  </si>
  <si>
    <t>20-OHICRE01</t>
  </si>
  <si>
    <t>2416 E West Salem Road</t>
  </si>
  <si>
    <t>David Marchetta</t>
  </si>
  <si>
    <t>330-435-6400</t>
  </si>
  <si>
    <t>Grease</t>
  </si>
  <si>
    <t>8/5/2019</t>
  </si>
  <si>
    <t>6/14/2019 9:49 AM</t>
  </si>
  <si>
    <t>6/14 - 4 cases food grade grease per mth, priced 1 case</t>
  </si>
  <si>
    <t>865ded49-ab8e-e911-a957-000d3a36ed4e</t>
  </si>
  <si>
    <t>Ohio Truck Equipment</t>
  </si>
  <si>
    <t>20-OHIMOU01</t>
  </si>
  <si>
    <t>8895 Columbus Road</t>
  </si>
  <si>
    <t>Mount  Vernon</t>
  </si>
  <si>
    <t>43050</t>
  </si>
  <si>
    <t>8/22/2019 8:50 PM</t>
  </si>
  <si>
    <t>8/28/2019</t>
  </si>
  <si>
    <t>acd1f301-40c5-e911-a95b-000d3a36e933</t>
  </si>
  <si>
    <t>Perrin Aspalt - Perrin Concrete</t>
  </si>
  <si>
    <t>525 Dan St</t>
  </si>
  <si>
    <t>44310</t>
  </si>
  <si>
    <t>Arian *</t>
  </si>
  <si>
    <t>330-253-1020</t>
  </si>
  <si>
    <t>12/3/2018 9:21 PM</t>
  </si>
  <si>
    <t>dad41545-6bf7-e811-a84e-000d3a33b3be</t>
  </si>
  <si>
    <t>Premier Pallet</t>
  </si>
  <si>
    <t>20-PRENAV01</t>
  </si>
  <si>
    <t>11361 Lawndell Rd SW</t>
  </si>
  <si>
    <t>Navarre</t>
  </si>
  <si>
    <t>44662</t>
  </si>
  <si>
    <t>Pete Grove</t>
  </si>
  <si>
    <t>pgrove@premierpallet.net</t>
  </si>
  <si>
    <t xml:space="preserve">330-704-0870 </t>
  </si>
  <si>
    <t>3/22/2019 2:00 PM</t>
  </si>
  <si>
    <t>3/22/2019</t>
  </si>
  <si>
    <t>3/22 - 5-6K gallon fuel tank</t>
  </si>
  <si>
    <t>e1adb853-cc4c-e911-a951-000d3a36e933</t>
  </si>
  <si>
    <t>Prestress Services Industries</t>
  </si>
  <si>
    <t>20-PREMOU02</t>
  </si>
  <si>
    <t>410 Howard St</t>
  </si>
  <si>
    <t>Mount Vernon</t>
  </si>
  <si>
    <t>8/22/2019 9:03 PM</t>
  </si>
  <si>
    <t>d764c2cd-41c5-e911-a960-000d3a36e9be</t>
  </si>
  <si>
    <t>Provia Logistics LLC</t>
  </si>
  <si>
    <t>40-57630009</t>
  </si>
  <si>
    <t>2150 State Rt 39 W.</t>
  </si>
  <si>
    <t>44681</t>
  </si>
  <si>
    <t>Brian Burdette</t>
  </si>
  <si>
    <t>brian.burdette@provia.com</t>
  </si>
  <si>
    <t xml:space="preserve">877-389-0835 </t>
  </si>
  <si>
    <t>12/28/2018 9:35 AM</t>
  </si>
  <si>
    <t>10/7/2019</t>
  </si>
  <si>
    <t>Wyman referred me to Brian Burdette in the Garage about Lubes for their transportation division</t>
  </si>
  <si>
    <t>c10135cc-ad0a-e911-a94b-000d3a36e9be</t>
  </si>
  <si>
    <t>PSC Metals Canton</t>
  </si>
  <si>
    <t>8/14/2019 7:57 AM</t>
  </si>
  <si>
    <t>afce5bb3-8abe-e911-a959-000d3a36e933</t>
  </si>
  <si>
    <t>R J Platten</t>
  </si>
  <si>
    <t>20-RJPNOR01</t>
  </si>
  <si>
    <t>14490 York Rd</t>
  </si>
  <si>
    <t>North Royalton</t>
  </si>
  <si>
    <t>44133</t>
  </si>
  <si>
    <t>Joe Platten</t>
  </si>
  <si>
    <t>jplatten@rjplatten.com</t>
  </si>
  <si>
    <t>440-237-8070</t>
  </si>
  <si>
    <t>8/21/2019 11:18 AM</t>
  </si>
  <si>
    <t>8/21/2019</t>
  </si>
  <si>
    <t>8/21 - 55/1 of DEF</t>
  </si>
  <si>
    <t>3565e1f6-26c4-e911-a95f-000d3a36e9be</t>
  </si>
  <si>
    <t>R.W. SIDLEY, Inc</t>
  </si>
  <si>
    <t>2000 Beeson St.</t>
  </si>
  <si>
    <t>Alliance</t>
  </si>
  <si>
    <t>44601</t>
  </si>
  <si>
    <t>1/25/2018 2:35 PM</t>
  </si>
  <si>
    <t>They have 15 locations in Ohio!</t>
  </si>
  <si>
    <t>936962d9-0602-e811-811a-e0071b714bd1</t>
  </si>
  <si>
    <t>Ray Bertolini Trucking</t>
  </si>
  <si>
    <t>2070 Wright Road</t>
  </si>
  <si>
    <t>44320</t>
  </si>
  <si>
    <t>Joe Bertolini</t>
  </si>
  <si>
    <t>jfb@raybertolini.com</t>
  </si>
  <si>
    <t xml:space="preserve">330-867-0666 </t>
  </si>
  <si>
    <t>8/1/2019 9:50 AM</t>
  </si>
  <si>
    <t>C+15-- UL LS#2</t>
  </si>
  <si>
    <t>04570a3d-63b4-e911-a95a-000d3a36eaef</t>
  </si>
  <si>
    <t>RBS General Contracting</t>
  </si>
  <si>
    <t>20-RBSMAS01</t>
  </si>
  <si>
    <t>PO Box 295</t>
  </si>
  <si>
    <t>44648</t>
  </si>
  <si>
    <t>Sean Roseman</t>
  </si>
  <si>
    <t>sean@rosemancontracting.com</t>
  </si>
  <si>
    <t>330-830-4655</t>
  </si>
  <si>
    <t>9/24/2019 3:16 PM</t>
  </si>
  <si>
    <t>9/24/2019</t>
  </si>
  <si>
    <t>9/24 - gallon jugs Delo and URSA 1540 based on 50 cases 3-4 times per year, THF same</t>
  </si>
  <si>
    <t>7f6d42c0-ffde-e911-a95d-000d3a36ed49</t>
  </si>
  <si>
    <t>Ruhlin Construction</t>
  </si>
  <si>
    <t>6931 ridge Rd</t>
  </si>
  <si>
    <t>Sharon Center</t>
  </si>
  <si>
    <t>44274</t>
  </si>
  <si>
    <t>Bruce Kelly</t>
  </si>
  <si>
    <t>330-239-2800</t>
  </si>
  <si>
    <t>4/11/2015 9:19 PM</t>
  </si>
  <si>
    <t>5/1 - No msg for Bruce
4/27 - LM for Bruce to dive down into lube opps
help from Burch Thomas</t>
  </si>
  <si>
    <t>74343603-b2e0-e411-80e5-c4346bac0934</t>
  </si>
  <si>
    <t>S A Comunal Co. Inc.</t>
  </si>
  <si>
    <t>20-SACBAR01</t>
  </si>
  <si>
    <t>2900 Newpark Drive</t>
  </si>
  <si>
    <t>9/10/2018 3:56 PM</t>
  </si>
  <si>
    <t>4/29/2019</t>
  </si>
  <si>
    <t>Meeting with shop manager Dave Liggett to go over needs and deliver Mobil Vactra for cutting machine</t>
  </si>
  <si>
    <t>77dcc194-33b5-e811-a846-000d3a33b3be</t>
  </si>
  <si>
    <t>Selinsky Force</t>
  </si>
  <si>
    <t>4015 23rd st SW</t>
  </si>
  <si>
    <t>ohio</t>
  </si>
  <si>
    <t>Chad Gardner</t>
  </si>
  <si>
    <t>12/18/2017 11:34 AM</t>
  </si>
  <si>
    <t xml:space="preserve">7/5 - Just spoke with Chad. Was open to pricing from me…gets fuel from Lykins. Has 10K gln underground #2 diesel tank, 4K gln underground gas tank, 500 gln above ground off-road tank. He refills at 5K for #2 and 2500 for gas. Lubes handled by Dave Fifer – I’ll call him next. </t>
  </si>
  <si>
    <t xml:space="preserve">Just spoke with Chad. Was open to pricing from me…gets fuel from Lykins. Has 10K gln underground #2 diesel tank, 4K gln underground gas tank, 500 gln above ground off-road tank. He refills at 5K for #2 and 2500 for gas. Lubes handled by Dave Fifer – I’ll call him next. </t>
  </si>
  <si>
    <t>01ac963f-11e4-e711-8117-e0071b714bd1</t>
  </si>
  <si>
    <t>Shanklin Transport</t>
  </si>
  <si>
    <t>20-SHANAV01</t>
  </si>
  <si>
    <t>10515 Poorman St SW</t>
  </si>
  <si>
    <t>Lue Shanklin</t>
  </si>
  <si>
    <t xml:space="preserve">330-465-9048 </t>
  </si>
  <si>
    <t>7/5/2019</t>
  </si>
  <si>
    <t>6/20/2019 12:00 PM</t>
  </si>
  <si>
    <t xml:space="preserve">6/20 - 55/1 Delo 400 SDE </t>
  </si>
  <si>
    <t>aefbd296-7493-e911-a957-000d3a36e9be</t>
  </si>
  <si>
    <t>Sitetech Inc - Transport</t>
  </si>
  <si>
    <t>20-SITGRA02</t>
  </si>
  <si>
    <t>35700 E Royalton Rd</t>
  </si>
  <si>
    <t>Grafton</t>
  </si>
  <si>
    <t>44044</t>
  </si>
  <si>
    <t>Wholesale</t>
  </si>
  <si>
    <t>Al Martin</t>
  </si>
  <si>
    <t>alm@sitetechexcavating.com</t>
  </si>
  <si>
    <t>440-748-7483</t>
  </si>
  <si>
    <t xml:space="preserve">330-414-1088 </t>
  </si>
  <si>
    <t>10/11/2019 2:44 PM</t>
  </si>
  <si>
    <t>10/11/2019</t>
  </si>
  <si>
    <t>10/11 - bulk 1540, 250-300 gallons 2x per month</t>
  </si>
  <si>
    <t>c9833e19-57ec-e911-a95f-000d3a36e990</t>
  </si>
  <si>
    <t>10/11/2019 3:55 PM</t>
  </si>
  <si>
    <t>10/11 - 1400 gallons on road</t>
  </si>
  <si>
    <t>98a24111-61ec-e911-a95f-000d3a36e990</t>
  </si>
  <si>
    <t>Slicker Farms</t>
  </si>
  <si>
    <t>20-SLICAN01</t>
  </si>
  <si>
    <t>6759 Deerfield Ave Nw</t>
  </si>
  <si>
    <t>Mark Slicker</t>
  </si>
  <si>
    <t>330-854-2557</t>
  </si>
  <si>
    <t>8/13/2019 12:20 PM</t>
  </si>
  <si>
    <t>8/13/2019</t>
  </si>
  <si>
    <t>/13 - OAP for numerous equipment and vehicles, quants TBD</t>
  </si>
  <si>
    <t>f2c64531-e6bd-e911-a95f-000d3a36e9be</t>
  </si>
  <si>
    <t>Steve Martin</t>
  </si>
  <si>
    <t>20-MARWOO08</t>
  </si>
  <si>
    <t>7663 Friendsville Rd</t>
  </si>
  <si>
    <t>9/5/2019 10:54 AM</t>
  </si>
  <si>
    <t>9/5 - Chev URSA ($585) and Delo400 ($794.82) 1540 in 55/1</t>
  </si>
  <si>
    <t>3458ad1c-edcf-e911-a95f-000d3a36eaef</t>
  </si>
  <si>
    <t>Sugar Creek Valley Farm</t>
  </si>
  <si>
    <t>20-SUGSMI01</t>
  </si>
  <si>
    <t>6689 Smucker Road</t>
  </si>
  <si>
    <t>Smithville</t>
  </si>
  <si>
    <t>44677</t>
  </si>
  <si>
    <t>Jeff Goch</t>
  </si>
  <si>
    <t>jsgoch@oh.net</t>
  </si>
  <si>
    <t>330-669-9820</t>
  </si>
  <si>
    <t xml:space="preserve">330-749-2704 </t>
  </si>
  <si>
    <t>2/20/2019 9:35 AM</t>
  </si>
  <si>
    <t>8/8 - 10W30 Case New Holland equiv, 30 gln container and 55/1 options</t>
  </si>
  <si>
    <t>334edcb4-1c35-e911-a950-000d3a36e933</t>
  </si>
  <si>
    <t xml:space="preserve">T n T disposal &amp; Demolition </t>
  </si>
  <si>
    <t>5362 Biery St SW</t>
  </si>
  <si>
    <t xml:space="preserve"> Navarre </t>
  </si>
  <si>
    <t xml:space="preserve">Ohio </t>
  </si>
  <si>
    <t>I I</t>
  </si>
  <si>
    <t>330-484-3578</t>
  </si>
  <si>
    <t>8/14/2019 9:07 AM</t>
  </si>
  <si>
    <t>735ae470-94be-e911-a959-000d3a36e933</t>
  </si>
  <si>
    <t>T&amp;E excavating</t>
  </si>
  <si>
    <t>5040 Twp Rd 405</t>
  </si>
  <si>
    <t>Millersburg</t>
  </si>
  <si>
    <t>Oh</t>
  </si>
  <si>
    <t>44654</t>
  </si>
  <si>
    <t>Eugene Hershberger</t>
  </si>
  <si>
    <t>hershy858@frontier.com</t>
  </si>
  <si>
    <t>330-763-4670</t>
  </si>
  <si>
    <t>8/9/2019 9:00 AM</t>
  </si>
  <si>
    <t>8/9/2019</t>
  </si>
  <si>
    <t>8/9 - 500 gallons on road</t>
  </si>
  <si>
    <t>269215a8-a5ba-e911-a959-000d3a36e990</t>
  </si>
  <si>
    <t>TDM Automotive</t>
  </si>
  <si>
    <t>20-TDMMED01</t>
  </si>
  <si>
    <t>6614 Norwalk Road</t>
  </si>
  <si>
    <t>Todd Miller</t>
  </si>
  <si>
    <t>330-722-2501</t>
  </si>
  <si>
    <t>9/26/2019 1:46 PM</t>
  </si>
  <si>
    <t>9/26 - 1000 gallons 87 eth</t>
  </si>
  <si>
    <t>ca9b3f96-85e0-e911-a95d-000d3a36e933</t>
  </si>
  <si>
    <t>The Beaver Excavating Co.</t>
  </si>
  <si>
    <t>20-BEACAN01</t>
  </si>
  <si>
    <t>2000 Beaver Place Ave. SW</t>
  </si>
  <si>
    <t>4/11/2019</t>
  </si>
  <si>
    <t>6/22/2018 4:14 PM</t>
  </si>
  <si>
    <t>1/15/2019</t>
  </si>
  <si>
    <t>a60ce2e4-5876-e811-a83a-000d3a33bdbd</t>
  </si>
  <si>
    <t>Ty Ulrey</t>
  </si>
  <si>
    <t>20-ULRMOU01</t>
  </si>
  <si>
    <t>9104 Old Delaware Road</t>
  </si>
  <si>
    <t>tyulrey@yahoo.com</t>
  </si>
  <si>
    <t>740-393-2268</t>
  </si>
  <si>
    <t xml:space="preserve">740-485-4916 </t>
  </si>
  <si>
    <t>9/12/2019 12:45 PM</t>
  </si>
  <si>
    <t>9/12 - 250 gln Delo 400 *9/18 - 250 gallons URSA</t>
  </si>
  <si>
    <t>12ef90af-7cd5-e911-a95d-000d3a36ed4e</t>
  </si>
  <si>
    <t>9/12/2019 3:07 PM</t>
  </si>
  <si>
    <t>9/13/2019</t>
  </si>
  <si>
    <t>9/12 - 55/1 THF</t>
  </si>
  <si>
    <t>9dd5538b-90d5-e911-a95d-000d3a36ed4e</t>
  </si>
  <si>
    <t>United Aggregate</t>
  </si>
  <si>
    <t>20-UNIMOU01</t>
  </si>
  <si>
    <t>14220 Parrott Ext</t>
  </si>
  <si>
    <t>8/22/2019 8:54 PM</t>
  </si>
  <si>
    <t>6ff01584-40c5-e911-a95b-000d3a36e933</t>
  </si>
  <si>
    <t>Valley Trucking</t>
  </si>
  <si>
    <t>26944 U.S. 30</t>
  </si>
  <si>
    <t>Kensington</t>
  </si>
  <si>
    <t>44427</t>
  </si>
  <si>
    <t>Dan Passerini</t>
  </si>
  <si>
    <t xml:space="preserve">330-805-5268 </t>
  </si>
  <si>
    <t>12/4/2018 8:45 AM</t>
  </si>
  <si>
    <t>55c6a0d5-caf7-e811-a850-000d3a33b3a3</t>
  </si>
  <si>
    <t>Walnut Creek Foods</t>
  </si>
  <si>
    <t>3850 State Route 39</t>
  </si>
  <si>
    <t>12/3/2018 9:24 PM</t>
  </si>
  <si>
    <t>ad1493c5-6bf7-e811-a84e-000d3a33b3be</t>
  </si>
  <si>
    <t>WHEELING LAKE ERIE RAILWAY</t>
  </si>
  <si>
    <t>10-WHEBRE</t>
  </si>
  <si>
    <t>3274 DEFIANCE PIKE</t>
  </si>
  <si>
    <t>Wayne</t>
  </si>
  <si>
    <t>43466</t>
  </si>
  <si>
    <t>6/30/2015 3:56 PM</t>
  </si>
  <si>
    <t>Matt is getting pricing, we will set appointment with Jeff once that is donewith Jeff once that is done</t>
  </si>
  <si>
    <t>5160e013-621f-e511-80f9-c4346bac1b18</t>
  </si>
  <si>
    <t>William  R Helbert</t>
  </si>
  <si>
    <t>20-HELASH03</t>
  </si>
  <si>
    <t>1942 Sr 511</t>
  </si>
  <si>
    <t>5/31/2019 2:32 PM</t>
  </si>
  <si>
    <t>5/31 - 500 gallons propane</t>
  </si>
  <si>
    <t>11d8c87c-d283-e911-a955-000d3a36e9be</t>
  </si>
  <si>
    <t>Wintrow Construction Corp</t>
  </si>
  <si>
    <t>673 Norton Ave.</t>
  </si>
  <si>
    <t>Lanny Wintrow</t>
  </si>
  <si>
    <t>lanny@wintrowconstruction.com</t>
  </si>
  <si>
    <t>330-753-2983</t>
  </si>
  <si>
    <t>330-612-2702</t>
  </si>
  <si>
    <t>8/14/2019 9:08 AM</t>
  </si>
  <si>
    <t>a0953ca8-94be-e911-a959-000d3a36e933</t>
  </si>
  <si>
    <t>Wooster Glass</t>
  </si>
  <si>
    <t>20-WOOWOO06</t>
  </si>
  <si>
    <t>419 S Market St</t>
  </si>
  <si>
    <t>6/4/2019 10:03 AM</t>
  </si>
  <si>
    <t>6/4 - 5/1 of min spirits</t>
  </si>
  <si>
    <t>63cfef71-d186-e911-a957-000d3a36e9be</t>
  </si>
  <si>
    <t>Wooster Motor Ways</t>
  </si>
  <si>
    <t>20-WOOWOO10</t>
  </si>
  <si>
    <t>3501 Old Lincoln Way</t>
  </si>
  <si>
    <t>12/3/2018 9:42 PM</t>
  </si>
  <si>
    <t>fc01c33d-6ef7-e811-a84e-000d3a33b3be</t>
  </si>
  <si>
    <t>World Truck Towing &amp; Recovery</t>
  </si>
  <si>
    <t>20-WORSEV01</t>
  </si>
  <si>
    <t>4970 Park Ave West</t>
  </si>
  <si>
    <t>Seville</t>
  </si>
  <si>
    <t>44273</t>
  </si>
  <si>
    <t>11/1/2015</t>
  </si>
  <si>
    <t>10/8/2015 10:32 AM</t>
  </si>
  <si>
    <t>8/9/2018</t>
  </si>
  <si>
    <t>5/10 - TT Danny, is a NE Lubricants customer right now. Has numerous wreckers, road trucks, a reefer. Told me flat out he's a price shopper. Uses ISO 32 75/90 trans fluid 3 barrels at a time, 50W hydraulic oil (getting back to me on quant), and 50/50 antifreeze (pays $5.72/gallon now, 200 gallons delivered). OK with a quote...will enter today. No visit set up yet but opp for it if he likes $.
4/27 - Tried 800 #, get CA loc and msg says 'Welcome to Redaway(?). No option for OH loc and no # online. Will do more research to find it.
so much change in management.  touch base with new guy chad early June</t>
  </si>
  <si>
    <t>b4629169-c96d-e511-8104-c4346bac1b18</t>
  </si>
  <si>
    <t>Yoder &amp; Frey Auctioneers, LLC</t>
  </si>
  <si>
    <t>20-YODHOL01</t>
  </si>
  <si>
    <t>1670 Commerce Road</t>
  </si>
  <si>
    <t>Holland</t>
  </si>
  <si>
    <t>43528</t>
  </si>
  <si>
    <t>Mike .</t>
  </si>
  <si>
    <t xml:space="preserve">419-865-3990 </t>
  </si>
  <si>
    <t xml:space="preserve">724-462-6877 </t>
  </si>
  <si>
    <t>5/1/2019</t>
  </si>
  <si>
    <t>4/17/2019 11:21 AM</t>
  </si>
  <si>
    <t>4/17/2019</t>
  </si>
  <si>
    <t>4/17 - 220 gln tote off road</t>
  </si>
  <si>
    <t>c99cef6f-2461-e911-a956-000d3a36ed4e</t>
  </si>
  <si>
    <t>Young Truck Sales</t>
  </si>
  <si>
    <t>20-YOUCAN01</t>
  </si>
  <si>
    <t>4970 Southway St SW</t>
  </si>
  <si>
    <t>6/1/2017</t>
  </si>
  <si>
    <t>2/23/2017 4:03 PM</t>
  </si>
  <si>
    <t>6/14/2018</t>
  </si>
  <si>
    <t>waiting on Matt fro FA numbers</t>
  </si>
  <si>
    <t>1813f472-0bfa-e611-80f9-5065f38be0e1</t>
  </si>
  <si>
    <t>4 - Activate &amp; Transition</t>
  </si>
  <si>
    <t>Anish Pearson</t>
  </si>
  <si>
    <t>Jeff Floyd</t>
  </si>
  <si>
    <t>Tara Gilmore</t>
  </si>
  <si>
    <t>Hollie Green</t>
  </si>
  <si>
    <t>Kyreek Johnson</t>
  </si>
  <si>
    <t>Opportunity ID</t>
  </si>
  <si>
    <t>Order</t>
  </si>
  <si>
    <t>Number of Opportunities</t>
  </si>
  <si>
    <t>Estimated Revenue</t>
  </si>
  <si>
    <t>Tooltip</t>
  </si>
  <si>
    <t>fraction of total revenue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</si>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</sst>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&quot;$&quot;#,##0.00;\(&quot;$&quot;#,##0.00\)"/>
    <numFmt numFmtId="165" formatCode="[$-10409]#,##0.00;\(#,##0.00\)"/>
    <numFmt numFmtId="168" formatCode="&quot;$&quot;#,##0.00"/>
  </numFmts>
  <fonts count="5">
    <font>
      <sz val="11"/>
      <color theme="1"/>
      <name val="Droid Sans"/>
      <family val="2"/>
    </font>
    <font>
      <b/>
      <sz val="8"/>
      <color rgb="FFFFFFFF"/>
      <name val="Tahoma"/>
    </font>
    <font>
      <sz val="11"/>
      <name val="Calibri"/>
    </font>
    <font>
      <sz val="8"/>
      <color rgb="FF000000"/>
      <name val="Tahoma"/>
    </font>
    <font>
      <b/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theme="6"/>
        <bgColor rgb="FF80808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164" fontId="3" fillId="0" borderId="1" xfId="0" applyNumberFormat="1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165" fontId="3" fillId="0" borderId="1" xfId="0" applyNumberFormat="1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vertical="center" wrapText="1" readingOrder="1"/>
    </xf>
    <xf numFmtId="14" fontId="0" fillId="0" borderId="0" xfId="0" applyNumberFormat="1"/>
    <xf numFmtId="0" fontId="4" fillId="3" borderId="1" xfId="0" applyFont="1" applyFill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 wrapText="1" readingOrder="1"/>
    </xf>
    <xf numFmtId="0" fontId="1" fillId="2" borderId="0" xfId="0" applyFont="1" applyFill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0" fillId="0" borderId="0" xfId="0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roid Sans"/>
                <a:ea typeface="+mn-ea"/>
                <a:cs typeface="+mn-cs"/>
              </a:defRPr>
            </a:pPr>
            <a:r>
              <a:rPr lang="en-US" b="1"/>
              <a:t>Opportunities by Sales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roid Sans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066229221347334"/>
          <c:y val="0.21454469233012541"/>
          <c:w val="0.47089785651793525"/>
          <c:h val="0.78482976086322542"/>
        </c:manualLayout>
      </c:layout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Sales Stage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1E-4E66-944D-84E7CA451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1E-4E66-944D-84E7CA451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9.5002515310586177E-2"/>
                  <c:y val="8.04418197725284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Droid Sans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1E-4E66-944D-84E7CA451324}"/>
                </c:ext>
              </c:extLst>
            </c:dLbl>
            <c:dLbl>
              <c:idx val="2"/>
              <c:layout>
                <c:manualLayout>
                  <c:x val="0.11495002187226597"/>
                  <c:y val="-0.189844342373869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1E-4E66-944D-84E7CA451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roid Sans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Summary!$B$2:$B$5</c:f>
              <c:strCache>
                <c:ptCount val="4"/>
                <c:pt idx="0">
                  <c:v>1 - Qualify</c:v>
                </c:pt>
                <c:pt idx="1">
                  <c:v>2 - Needs &amp; Solutions</c:v>
                </c:pt>
                <c:pt idx="2">
                  <c:v>3 - Presentation</c:v>
                </c:pt>
                <c:pt idx="3">
                  <c:v>4 - Activate &amp; Transition</c:v>
                </c:pt>
              </c:strCache>
            </c:strRef>
          </c:cat>
          <c:val>
            <c:numRef>
              <c:f>Summary!$C$2:$C$5</c:f>
              <c:numCache>
                <c:formatCode>General</c:formatCode>
                <c:ptCount val="4"/>
                <c:pt idx="0">
                  <c:v>7</c:v>
                </c:pt>
                <c:pt idx="1">
                  <c:v>23</c:v>
                </c:pt>
                <c:pt idx="2">
                  <c:v>76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E66-944D-84E7CA451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777777777777776E-2"/>
          <c:y val="0.26909667541557303"/>
          <c:w val="0.21388888888888888"/>
          <c:h val="0.4484959171770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Droid Sans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Droid San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509587</xdr:colOff>
      <xdr:row>9</xdr:row>
      <xdr:rowOff>57150</xdr:rowOff>
    </xdr:from>
    <xdr:to>
      <xdr:col>13</xdr:col>
      <xdr:colOff>280987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A0D88-35B0-14FE-2B4A-0D64695B5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ontessa D1">
      <a:dk1>
        <a:srgbClr val="000000"/>
      </a:dk1>
      <a:lt1>
        <a:sysClr val="window" lastClr="FFFFFF"/>
      </a:lt1>
      <a:dk2>
        <a:srgbClr val="F38C0C"/>
      </a:dk2>
      <a:lt2>
        <a:srgbClr val="B5C3E6"/>
      </a:lt2>
      <a:accent1>
        <a:srgbClr val="F15026"/>
      </a:accent1>
      <a:accent2>
        <a:srgbClr val="0B1228"/>
      </a:accent2>
      <a:accent3>
        <a:srgbClr val="FFB74E"/>
      </a:accent3>
      <a:accent4>
        <a:srgbClr val="489820"/>
      </a:accent4>
      <a:accent5>
        <a:srgbClr val="415D80"/>
      </a:accent5>
      <a:accent6>
        <a:srgbClr val="B72824"/>
      </a:accent6>
      <a:hlink>
        <a:srgbClr val="013B69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DD1-B1C7-4024-9670-50C4E6DE21F4}">
  <dimension ref="A2:AK171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I3" sqref="I3"/>
    </sheetView>
  </sheetViews>
  <sheetFormatPr defaultRowHeight="14.25"/>
  <cols>
    <col min="1" max="1" width="10.125" bestFit="1" customWidth="1"/>
    <col min="2" max="2" width="20.75" customWidth="1"/>
    <col min="3" max="3" width="12" bestFit="1" customWidth="1"/>
    <col min="4" max="4" width="10.75" customWidth="1"/>
    <col min="7" max="7" width="9.875" bestFit="1" customWidth="1"/>
    <col min="11" max="11" width="9.375" bestFit="1" customWidth="1"/>
    <col min="18" max="18" width="9.375" bestFit="1" customWidth="1"/>
  </cols>
  <sheetData>
    <row r="2" spans="1:37" ht="34.9" customHeight="1">
      <c r="A2" s="8" t="s">
        <v>954</v>
      </c>
      <c r="B2" s="1" t="s">
        <v>0</v>
      </c>
      <c r="C2" s="1" t="s">
        <v>1</v>
      </c>
      <c r="D2" s="1" t="s">
        <v>13</v>
      </c>
      <c r="E2" s="1" t="s">
        <v>14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21</v>
      </c>
      <c r="Q2" s="1" t="s">
        <v>27</v>
      </c>
      <c r="R2" s="1" t="s">
        <v>28</v>
      </c>
      <c r="S2" s="1" t="s">
        <v>2</v>
      </c>
      <c r="T2" s="1" t="s">
        <v>3</v>
      </c>
      <c r="U2" s="1" t="s">
        <v>4</v>
      </c>
      <c r="V2" s="13" t="s">
        <v>5</v>
      </c>
      <c r="W2" s="11"/>
      <c r="X2" s="1" t="s">
        <v>6</v>
      </c>
      <c r="Y2" s="13" t="s">
        <v>7</v>
      </c>
      <c r="Z2" s="12"/>
      <c r="AA2" s="11"/>
      <c r="AB2" s="13" t="s">
        <v>8</v>
      </c>
      <c r="AC2" s="12"/>
      <c r="AD2" s="11"/>
      <c r="AE2" s="1" t="s">
        <v>9</v>
      </c>
      <c r="AF2" s="1" t="s">
        <v>10</v>
      </c>
      <c r="AG2" s="1" t="s">
        <v>11</v>
      </c>
      <c r="AH2" s="1" t="s">
        <v>12</v>
      </c>
      <c r="AI2" s="1" t="s">
        <v>15</v>
      </c>
      <c r="AJ2" s="1" t="s">
        <v>29</v>
      </c>
      <c r="AK2" s="1" t="s">
        <v>30</v>
      </c>
    </row>
    <row r="3" spans="1:37" ht="15" customHeight="1">
      <c r="A3">
        <v>1</v>
      </c>
      <c r="B3" s="2" t="s">
        <v>31</v>
      </c>
      <c r="C3" s="2" t="s">
        <v>32</v>
      </c>
      <c r="D3" s="2" t="s">
        <v>38</v>
      </c>
      <c r="E3" s="2" t="s">
        <v>39</v>
      </c>
      <c r="F3" s="2" t="s">
        <v>41</v>
      </c>
      <c r="G3" s="3">
        <v>30000</v>
      </c>
      <c r="H3" s="4"/>
      <c r="I3" s="5">
        <v>15000</v>
      </c>
      <c r="J3" s="2" t="s">
        <v>91</v>
      </c>
      <c r="K3" s="2" t="s">
        <v>949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43</v>
      </c>
      <c r="Q3" s="2"/>
      <c r="R3" s="2" t="s">
        <v>48</v>
      </c>
      <c r="S3" s="2" t="s">
        <v>33</v>
      </c>
      <c r="T3" s="2"/>
      <c r="U3" s="2" t="s">
        <v>34</v>
      </c>
      <c r="V3" s="10" t="s">
        <v>35</v>
      </c>
      <c r="W3" s="11"/>
      <c r="X3" s="2" t="s">
        <v>36</v>
      </c>
      <c r="Y3" s="10" t="s">
        <v>37</v>
      </c>
      <c r="Z3" s="12"/>
      <c r="AA3" s="11"/>
      <c r="AB3" s="10"/>
      <c r="AC3" s="12"/>
      <c r="AD3" s="11"/>
      <c r="AE3" s="2"/>
      <c r="AF3" s="2"/>
      <c r="AG3" s="2"/>
      <c r="AH3" s="2"/>
      <c r="AI3" s="2" t="s">
        <v>40</v>
      </c>
      <c r="AJ3" s="2" t="s">
        <v>49</v>
      </c>
      <c r="AK3" s="2" t="s">
        <v>50</v>
      </c>
    </row>
    <row r="4" spans="1:37" ht="15" customHeight="1">
      <c r="A4">
        <v>2</v>
      </c>
      <c r="B4" s="2" t="s">
        <v>51</v>
      </c>
      <c r="C4" s="2" t="s">
        <v>52</v>
      </c>
      <c r="D4" s="2" t="s">
        <v>38</v>
      </c>
      <c r="E4" s="2" t="s">
        <v>39</v>
      </c>
      <c r="F4" s="2" t="s">
        <v>62</v>
      </c>
      <c r="G4" s="3">
        <v>519</v>
      </c>
      <c r="H4" s="4"/>
      <c r="I4" s="5">
        <v>55</v>
      </c>
      <c r="J4" s="2" t="s">
        <v>91</v>
      </c>
      <c r="K4" s="2" t="s">
        <v>949</v>
      </c>
      <c r="L4" s="2" t="s">
        <v>44</v>
      </c>
      <c r="M4" s="2" t="s">
        <v>45</v>
      </c>
      <c r="N4" s="2" t="s">
        <v>64</v>
      </c>
      <c r="O4" s="2" t="s">
        <v>65</v>
      </c>
      <c r="P4" s="2" t="s">
        <v>63</v>
      </c>
      <c r="Q4" s="2"/>
      <c r="R4" s="2" t="s">
        <v>66</v>
      </c>
      <c r="S4" s="2" t="s">
        <v>53</v>
      </c>
      <c r="T4" s="2"/>
      <c r="U4" s="2" t="s">
        <v>54</v>
      </c>
      <c r="V4" s="10" t="s">
        <v>35</v>
      </c>
      <c r="W4" s="11"/>
      <c r="X4" s="2" t="s">
        <v>55</v>
      </c>
      <c r="Y4" s="10" t="s">
        <v>56</v>
      </c>
      <c r="Z4" s="12"/>
      <c r="AA4" s="11"/>
      <c r="AB4" s="10" t="s">
        <v>57</v>
      </c>
      <c r="AC4" s="12"/>
      <c r="AD4" s="11"/>
      <c r="AE4" s="2"/>
      <c r="AF4" s="2" t="s">
        <v>58</v>
      </c>
      <c r="AG4" s="2" t="s">
        <v>59</v>
      </c>
      <c r="AH4" s="2" t="s">
        <v>60</v>
      </c>
      <c r="AI4" s="2" t="s">
        <v>61</v>
      </c>
      <c r="AJ4" s="2" t="s">
        <v>67</v>
      </c>
      <c r="AK4" s="2" t="s">
        <v>50</v>
      </c>
    </row>
    <row r="5" spans="1:37" ht="15" customHeight="1">
      <c r="A5">
        <v>3</v>
      </c>
      <c r="B5" s="2" t="s">
        <v>68</v>
      </c>
      <c r="C5" s="2" t="s">
        <v>69</v>
      </c>
      <c r="D5" s="2"/>
      <c r="E5" s="2" t="s">
        <v>39</v>
      </c>
      <c r="F5" s="2" t="s">
        <v>62</v>
      </c>
      <c r="G5" s="4"/>
      <c r="H5" s="4"/>
      <c r="I5" s="5">
        <v>5000</v>
      </c>
      <c r="J5" s="2" t="s">
        <v>91</v>
      </c>
      <c r="K5" s="2" t="s">
        <v>951</v>
      </c>
      <c r="L5" s="2" t="s">
        <v>44</v>
      </c>
      <c r="M5" s="2" t="s">
        <v>45</v>
      </c>
      <c r="N5" s="2" t="s">
        <v>71</v>
      </c>
      <c r="O5" s="2" t="s">
        <v>72</v>
      </c>
      <c r="P5" s="2"/>
      <c r="Q5" s="2"/>
      <c r="R5" s="2"/>
      <c r="S5" s="2"/>
      <c r="T5" s="2"/>
      <c r="U5" s="2" t="s">
        <v>70</v>
      </c>
      <c r="V5" s="10" t="s">
        <v>35</v>
      </c>
      <c r="W5" s="11"/>
      <c r="X5" s="2"/>
      <c r="Y5" s="10" t="s">
        <v>37</v>
      </c>
      <c r="Z5" s="12"/>
      <c r="AA5" s="11"/>
      <c r="AB5" s="10"/>
      <c r="AC5" s="12"/>
      <c r="AD5" s="11"/>
      <c r="AE5" s="2"/>
      <c r="AF5" s="2"/>
      <c r="AG5" s="2"/>
      <c r="AH5" s="2"/>
      <c r="AI5" s="2" t="s">
        <v>61</v>
      </c>
      <c r="AJ5" s="2" t="s">
        <v>73</v>
      </c>
      <c r="AK5" s="2" t="s">
        <v>50</v>
      </c>
    </row>
    <row r="6" spans="1:37" ht="15" customHeight="1">
      <c r="A6">
        <v>4</v>
      </c>
      <c r="B6" s="2" t="s">
        <v>74</v>
      </c>
      <c r="C6" s="2" t="s">
        <v>75</v>
      </c>
      <c r="D6" s="2" t="s">
        <v>38</v>
      </c>
      <c r="E6" s="2" t="s">
        <v>39</v>
      </c>
      <c r="F6" s="2" t="s">
        <v>62</v>
      </c>
      <c r="G6" s="3">
        <v>0</v>
      </c>
      <c r="H6" s="4"/>
      <c r="I6" s="5">
        <v>3000</v>
      </c>
      <c r="J6" s="2" t="s">
        <v>80</v>
      </c>
      <c r="K6" s="2" t="s">
        <v>951</v>
      </c>
      <c r="L6" s="2" t="s">
        <v>44</v>
      </c>
      <c r="M6" s="2" t="s">
        <v>45</v>
      </c>
      <c r="N6" s="2" t="s">
        <v>81</v>
      </c>
      <c r="O6" s="2" t="s">
        <v>82</v>
      </c>
      <c r="P6" s="2"/>
      <c r="Q6" s="2"/>
      <c r="R6" s="2"/>
      <c r="S6" s="2" t="s">
        <v>76</v>
      </c>
      <c r="T6" s="2"/>
      <c r="U6" s="2" t="s">
        <v>77</v>
      </c>
      <c r="V6" s="10" t="s">
        <v>35</v>
      </c>
      <c r="W6" s="11"/>
      <c r="X6" s="2" t="s">
        <v>78</v>
      </c>
      <c r="Y6" s="10" t="s">
        <v>79</v>
      </c>
      <c r="Z6" s="12"/>
      <c r="AA6" s="11"/>
      <c r="AB6" s="10"/>
      <c r="AC6" s="12"/>
      <c r="AD6" s="11"/>
      <c r="AE6" s="2"/>
      <c r="AF6" s="2"/>
      <c r="AG6" s="2"/>
      <c r="AH6" s="2"/>
      <c r="AI6" s="2" t="s">
        <v>61</v>
      </c>
      <c r="AJ6" s="2" t="s">
        <v>83</v>
      </c>
      <c r="AK6" s="2" t="s">
        <v>50</v>
      </c>
    </row>
    <row r="7" spans="1:37" ht="15" customHeight="1">
      <c r="A7">
        <v>5</v>
      </c>
      <c r="B7" s="2" t="s">
        <v>84</v>
      </c>
      <c r="C7" s="2" t="s">
        <v>69</v>
      </c>
      <c r="D7" s="2" t="s">
        <v>38</v>
      </c>
      <c r="E7" s="2" t="s">
        <v>39</v>
      </c>
      <c r="F7" s="2" t="s">
        <v>41</v>
      </c>
      <c r="G7" s="3">
        <v>0</v>
      </c>
      <c r="H7" s="4"/>
      <c r="I7" s="5">
        <v>1500</v>
      </c>
      <c r="J7" s="2" t="s">
        <v>42</v>
      </c>
      <c r="K7" s="2" t="s">
        <v>951</v>
      </c>
      <c r="L7" s="2" t="s">
        <v>44</v>
      </c>
      <c r="M7" s="2" t="s">
        <v>45</v>
      </c>
      <c r="N7" s="2" t="s">
        <v>92</v>
      </c>
      <c r="O7" s="2" t="s">
        <v>93</v>
      </c>
      <c r="P7" s="2"/>
      <c r="Q7" s="2" t="s">
        <v>94</v>
      </c>
      <c r="R7" s="2" t="s">
        <v>95</v>
      </c>
      <c r="S7" s="2" t="s">
        <v>85</v>
      </c>
      <c r="T7" s="2"/>
      <c r="U7" s="2" t="s">
        <v>86</v>
      </c>
      <c r="V7" s="10" t="s">
        <v>35</v>
      </c>
      <c r="W7" s="11"/>
      <c r="X7" s="2" t="s">
        <v>87</v>
      </c>
      <c r="Y7" s="10" t="s">
        <v>37</v>
      </c>
      <c r="Z7" s="12"/>
      <c r="AA7" s="11"/>
      <c r="AB7" s="10" t="s">
        <v>88</v>
      </c>
      <c r="AC7" s="12"/>
      <c r="AD7" s="11"/>
      <c r="AE7" s="2"/>
      <c r="AF7" s="2" t="s">
        <v>89</v>
      </c>
      <c r="AG7" s="2" t="s">
        <v>90</v>
      </c>
      <c r="AH7" s="2"/>
      <c r="AI7" s="2" t="s">
        <v>61</v>
      </c>
      <c r="AJ7" s="2" t="s">
        <v>96</v>
      </c>
      <c r="AK7" s="2" t="s">
        <v>50</v>
      </c>
    </row>
    <row r="8" spans="1:37" ht="15" customHeight="1">
      <c r="A8">
        <v>6</v>
      </c>
      <c r="B8" s="2" t="s">
        <v>97</v>
      </c>
      <c r="C8" s="2" t="s">
        <v>69</v>
      </c>
      <c r="D8" s="2" t="s">
        <v>38</v>
      </c>
      <c r="E8" s="2" t="s">
        <v>39</v>
      </c>
      <c r="F8" s="2" t="s">
        <v>41</v>
      </c>
      <c r="G8" s="3">
        <v>0</v>
      </c>
      <c r="H8" s="4"/>
      <c r="I8" s="5">
        <v>1500</v>
      </c>
      <c r="J8" s="2" t="s">
        <v>80</v>
      </c>
      <c r="K8" s="2" t="s">
        <v>951</v>
      </c>
      <c r="L8" s="2" t="s">
        <v>44</v>
      </c>
      <c r="M8" s="2" t="s">
        <v>45</v>
      </c>
      <c r="N8" s="2" t="s">
        <v>103</v>
      </c>
      <c r="O8" s="2" t="s">
        <v>82</v>
      </c>
      <c r="P8" s="2"/>
      <c r="Q8" s="2"/>
      <c r="R8" s="2" t="s">
        <v>104</v>
      </c>
      <c r="S8" s="2"/>
      <c r="T8" s="2"/>
      <c r="U8" s="2" t="s">
        <v>98</v>
      </c>
      <c r="V8" s="10" t="s">
        <v>99</v>
      </c>
      <c r="W8" s="11"/>
      <c r="X8" s="2"/>
      <c r="Y8" s="10" t="s">
        <v>37</v>
      </c>
      <c r="Z8" s="12"/>
      <c r="AA8" s="11"/>
      <c r="AB8" s="10" t="s">
        <v>100</v>
      </c>
      <c r="AC8" s="12"/>
      <c r="AD8" s="11"/>
      <c r="AE8" s="2"/>
      <c r="AF8" s="2" t="s">
        <v>101</v>
      </c>
      <c r="AG8" s="2" t="s">
        <v>102</v>
      </c>
      <c r="AH8" s="2"/>
      <c r="AI8" s="2" t="s">
        <v>61</v>
      </c>
      <c r="AJ8" s="2" t="s">
        <v>105</v>
      </c>
      <c r="AK8" s="2" t="s">
        <v>50</v>
      </c>
    </row>
    <row r="9" spans="1:37" ht="15" customHeight="1">
      <c r="A9">
        <v>7</v>
      </c>
      <c r="B9" s="2" t="s">
        <v>106</v>
      </c>
      <c r="C9" s="2" t="s">
        <v>69</v>
      </c>
      <c r="D9" s="2" t="s">
        <v>110</v>
      </c>
      <c r="E9" s="2" t="s">
        <v>39</v>
      </c>
      <c r="F9" s="2" t="s">
        <v>62</v>
      </c>
      <c r="G9" s="3">
        <v>0</v>
      </c>
      <c r="H9" s="4"/>
      <c r="I9" s="5">
        <v>8000</v>
      </c>
      <c r="J9" s="2" t="s">
        <v>80</v>
      </c>
      <c r="K9" s="2" t="s">
        <v>952</v>
      </c>
      <c r="L9" s="2" t="s">
        <v>44</v>
      </c>
      <c r="M9" s="2" t="s">
        <v>45</v>
      </c>
      <c r="N9" s="2" t="s">
        <v>111</v>
      </c>
      <c r="O9" s="2" t="s">
        <v>112</v>
      </c>
      <c r="P9" s="2"/>
      <c r="Q9" s="2" t="s">
        <v>113</v>
      </c>
      <c r="R9" s="2"/>
      <c r="S9" s="2" t="s">
        <v>107</v>
      </c>
      <c r="T9" s="2"/>
      <c r="U9" s="2" t="s">
        <v>86</v>
      </c>
      <c r="V9" s="10" t="s">
        <v>35</v>
      </c>
      <c r="W9" s="11"/>
      <c r="X9" s="2"/>
      <c r="Y9" s="10" t="s">
        <v>79</v>
      </c>
      <c r="Z9" s="12"/>
      <c r="AA9" s="11"/>
      <c r="AB9" s="10" t="s">
        <v>108</v>
      </c>
      <c r="AC9" s="12"/>
      <c r="AD9" s="11"/>
      <c r="AE9" s="2"/>
      <c r="AF9" s="2"/>
      <c r="AG9" s="2" t="s">
        <v>109</v>
      </c>
      <c r="AH9" s="2"/>
      <c r="AI9" s="2" t="s">
        <v>61</v>
      </c>
      <c r="AJ9" s="2" t="s">
        <v>114</v>
      </c>
      <c r="AK9" s="2"/>
    </row>
    <row r="10" spans="1:37" ht="15" customHeight="1">
      <c r="A10">
        <v>8</v>
      </c>
      <c r="B10" s="2" t="s">
        <v>115</v>
      </c>
      <c r="C10" s="2" t="s">
        <v>116</v>
      </c>
      <c r="D10" s="2" t="s">
        <v>38</v>
      </c>
      <c r="E10" s="2" t="s">
        <v>39</v>
      </c>
      <c r="F10" s="2" t="s">
        <v>62</v>
      </c>
      <c r="G10" s="3">
        <v>557.08000000000004</v>
      </c>
      <c r="H10" s="4"/>
      <c r="I10" s="5">
        <v>50</v>
      </c>
      <c r="J10" s="2" t="s">
        <v>91</v>
      </c>
      <c r="K10" s="2" t="s">
        <v>949</v>
      </c>
      <c r="L10" s="2" t="s">
        <v>44</v>
      </c>
      <c r="M10" s="2" t="s">
        <v>45</v>
      </c>
      <c r="N10" s="2" t="s">
        <v>125</v>
      </c>
      <c r="O10" s="2" t="s">
        <v>126</v>
      </c>
      <c r="P10" s="2" t="s">
        <v>124</v>
      </c>
      <c r="Q10" s="2"/>
      <c r="R10" s="2" t="s">
        <v>127</v>
      </c>
      <c r="S10" s="2" t="s">
        <v>117</v>
      </c>
      <c r="T10" s="2"/>
      <c r="U10" s="2" t="s">
        <v>118</v>
      </c>
      <c r="V10" s="10" t="s">
        <v>35</v>
      </c>
      <c r="W10" s="11"/>
      <c r="X10" s="2" t="s">
        <v>119</v>
      </c>
      <c r="Y10" s="10" t="s">
        <v>120</v>
      </c>
      <c r="Z10" s="12"/>
      <c r="AA10" s="11"/>
      <c r="AB10" s="10" t="s">
        <v>121</v>
      </c>
      <c r="AC10" s="12"/>
      <c r="AD10" s="11"/>
      <c r="AE10" s="2"/>
      <c r="AF10" s="2" t="s">
        <v>122</v>
      </c>
      <c r="AG10" s="2" t="s">
        <v>123</v>
      </c>
      <c r="AH10" s="2"/>
      <c r="AI10" s="2" t="s">
        <v>61</v>
      </c>
      <c r="AJ10" s="2" t="s">
        <v>128</v>
      </c>
      <c r="AK10" s="2" t="s">
        <v>50</v>
      </c>
    </row>
    <row r="11" spans="1:37" ht="15" customHeight="1">
      <c r="A11">
        <v>9</v>
      </c>
      <c r="B11" s="2" t="s">
        <v>129</v>
      </c>
      <c r="C11" s="2" t="s">
        <v>69</v>
      </c>
      <c r="D11" s="2" t="s">
        <v>38</v>
      </c>
      <c r="E11" s="2" t="s">
        <v>39</v>
      </c>
      <c r="F11" s="2" t="s">
        <v>62</v>
      </c>
      <c r="G11" s="3">
        <v>0</v>
      </c>
      <c r="H11" s="4"/>
      <c r="I11" s="5">
        <v>3000</v>
      </c>
      <c r="J11" s="2" t="s">
        <v>91</v>
      </c>
      <c r="K11" s="2" t="s">
        <v>951</v>
      </c>
      <c r="L11" s="2" t="s">
        <v>44</v>
      </c>
      <c r="M11" s="2" t="s">
        <v>45</v>
      </c>
      <c r="N11" s="2" t="s">
        <v>132</v>
      </c>
      <c r="O11" s="2" t="s">
        <v>133</v>
      </c>
      <c r="P11" s="2"/>
      <c r="Q11" s="2"/>
      <c r="R11" s="2" t="s">
        <v>134</v>
      </c>
      <c r="S11" s="2"/>
      <c r="T11" s="2"/>
      <c r="U11" s="2" t="s">
        <v>130</v>
      </c>
      <c r="V11" s="10" t="s">
        <v>35</v>
      </c>
      <c r="W11" s="11"/>
      <c r="X11" s="2"/>
      <c r="Y11" s="10" t="s">
        <v>131</v>
      </c>
      <c r="Z11" s="12"/>
      <c r="AA11" s="11"/>
      <c r="AB11" s="10"/>
      <c r="AC11" s="12"/>
      <c r="AD11" s="11"/>
      <c r="AE11" s="2"/>
      <c r="AF11" s="2"/>
      <c r="AG11" s="2"/>
      <c r="AH11" s="2"/>
      <c r="AI11" s="2" t="s">
        <v>61</v>
      </c>
      <c r="AJ11" s="2" t="s">
        <v>135</v>
      </c>
      <c r="AK11" s="2" t="s">
        <v>50</v>
      </c>
    </row>
    <row r="12" spans="1:37" ht="15" customHeight="1">
      <c r="A12">
        <v>10</v>
      </c>
      <c r="B12" s="2" t="s">
        <v>136</v>
      </c>
      <c r="C12" s="2" t="s">
        <v>137</v>
      </c>
      <c r="D12" s="2" t="s">
        <v>38</v>
      </c>
      <c r="E12" s="2" t="s">
        <v>39</v>
      </c>
      <c r="F12" s="2" t="s">
        <v>62</v>
      </c>
      <c r="G12" s="3">
        <v>115.42</v>
      </c>
      <c r="H12" s="4"/>
      <c r="I12" s="5">
        <v>10</v>
      </c>
      <c r="J12" s="2" t="s">
        <v>91</v>
      </c>
      <c r="K12" s="2" t="s">
        <v>949</v>
      </c>
      <c r="L12" s="2" t="s">
        <v>44</v>
      </c>
      <c r="M12" s="2" t="s">
        <v>45</v>
      </c>
      <c r="N12" s="2" t="s">
        <v>145</v>
      </c>
      <c r="O12" s="2" t="s">
        <v>126</v>
      </c>
      <c r="P12" s="2" t="s">
        <v>63</v>
      </c>
      <c r="Q12" s="2"/>
      <c r="R12" s="2" t="s">
        <v>146</v>
      </c>
      <c r="S12" s="2" t="s">
        <v>138</v>
      </c>
      <c r="T12" s="2"/>
      <c r="U12" s="2" t="s">
        <v>139</v>
      </c>
      <c r="V12" s="10" t="s">
        <v>35</v>
      </c>
      <c r="W12" s="11"/>
      <c r="X12" s="2" t="s">
        <v>140</v>
      </c>
      <c r="Y12" s="10" t="s">
        <v>141</v>
      </c>
      <c r="Z12" s="12"/>
      <c r="AA12" s="11"/>
      <c r="AB12" s="10" t="s">
        <v>142</v>
      </c>
      <c r="AC12" s="12"/>
      <c r="AD12" s="11"/>
      <c r="AE12" s="2"/>
      <c r="AF12" s="2" t="s">
        <v>143</v>
      </c>
      <c r="AG12" s="2" t="s">
        <v>144</v>
      </c>
      <c r="AH12" s="2"/>
      <c r="AI12" s="2" t="s">
        <v>61</v>
      </c>
      <c r="AJ12" s="2" t="s">
        <v>147</v>
      </c>
      <c r="AK12" s="2" t="s">
        <v>50</v>
      </c>
    </row>
    <row r="13" spans="1:37" ht="15" customHeight="1">
      <c r="A13">
        <v>11</v>
      </c>
      <c r="B13" s="2" t="s">
        <v>148</v>
      </c>
      <c r="C13" s="2" t="s">
        <v>149</v>
      </c>
      <c r="D13" s="2" t="s">
        <v>38</v>
      </c>
      <c r="E13" s="2" t="s">
        <v>39</v>
      </c>
      <c r="F13" s="2" t="s">
        <v>62</v>
      </c>
      <c r="G13" s="3">
        <v>2120</v>
      </c>
      <c r="H13" s="4"/>
      <c r="I13" s="5">
        <v>1110</v>
      </c>
      <c r="J13" s="2" t="s">
        <v>42</v>
      </c>
      <c r="K13" s="2" t="s">
        <v>950</v>
      </c>
      <c r="L13" s="2" t="s">
        <v>44</v>
      </c>
      <c r="M13" s="2" t="s">
        <v>45</v>
      </c>
      <c r="N13" s="2" t="s">
        <v>156</v>
      </c>
      <c r="O13" s="2" t="s">
        <v>157</v>
      </c>
      <c r="P13" s="2" t="s">
        <v>43</v>
      </c>
      <c r="Q13" s="2"/>
      <c r="R13" s="2" t="s">
        <v>158</v>
      </c>
      <c r="S13" s="2" t="s">
        <v>150</v>
      </c>
      <c r="T13" s="2"/>
      <c r="U13" s="2" t="s">
        <v>151</v>
      </c>
      <c r="V13" s="10" t="s">
        <v>35</v>
      </c>
      <c r="W13" s="11"/>
      <c r="X13" s="2" t="s">
        <v>152</v>
      </c>
      <c r="Y13" s="10" t="s">
        <v>56</v>
      </c>
      <c r="Z13" s="12"/>
      <c r="AA13" s="11"/>
      <c r="AB13" s="10" t="s">
        <v>153</v>
      </c>
      <c r="AC13" s="12"/>
      <c r="AD13" s="11"/>
      <c r="AE13" s="2"/>
      <c r="AF13" s="2" t="s">
        <v>154</v>
      </c>
      <c r="AG13" s="2" t="s">
        <v>155</v>
      </c>
      <c r="AH13" s="2"/>
      <c r="AI13" s="2" t="s">
        <v>61</v>
      </c>
      <c r="AJ13" s="2" t="s">
        <v>159</v>
      </c>
      <c r="AK13" s="2" t="s">
        <v>50</v>
      </c>
    </row>
    <row r="14" spans="1:37" ht="15" customHeight="1">
      <c r="A14">
        <v>12</v>
      </c>
      <c r="B14" s="2" t="s">
        <v>160</v>
      </c>
      <c r="C14" s="2" t="s">
        <v>161</v>
      </c>
      <c r="D14" s="2" t="s">
        <v>38</v>
      </c>
      <c r="E14" s="2" t="s">
        <v>39</v>
      </c>
      <c r="F14" s="2" t="s">
        <v>41</v>
      </c>
      <c r="G14" s="3">
        <v>410</v>
      </c>
      <c r="H14" s="4"/>
      <c r="I14" s="5">
        <v>275</v>
      </c>
      <c r="J14" s="2" t="s">
        <v>91</v>
      </c>
      <c r="K14" s="2" t="s">
        <v>949</v>
      </c>
      <c r="L14" s="2" t="s">
        <v>44</v>
      </c>
      <c r="M14" s="2" t="s">
        <v>45</v>
      </c>
      <c r="N14" s="2" t="s">
        <v>170</v>
      </c>
      <c r="O14" s="2" t="s">
        <v>126</v>
      </c>
      <c r="P14" s="2" t="s">
        <v>169</v>
      </c>
      <c r="Q14" s="2"/>
      <c r="R14" s="2" t="s">
        <v>171</v>
      </c>
      <c r="S14" s="2" t="s">
        <v>162</v>
      </c>
      <c r="T14" s="2"/>
      <c r="U14" s="2" t="s">
        <v>163</v>
      </c>
      <c r="V14" s="10" t="s">
        <v>35</v>
      </c>
      <c r="W14" s="11"/>
      <c r="X14" s="2" t="s">
        <v>164</v>
      </c>
      <c r="Y14" s="10" t="s">
        <v>37</v>
      </c>
      <c r="Z14" s="12"/>
      <c r="AA14" s="11"/>
      <c r="AB14" s="10" t="s">
        <v>165</v>
      </c>
      <c r="AC14" s="12"/>
      <c r="AD14" s="11"/>
      <c r="AE14" s="2"/>
      <c r="AF14" s="2" t="s">
        <v>166</v>
      </c>
      <c r="AG14" s="2" t="s">
        <v>167</v>
      </c>
      <c r="AH14" s="2"/>
      <c r="AI14" s="2" t="s">
        <v>168</v>
      </c>
      <c r="AJ14" s="2" t="s">
        <v>172</v>
      </c>
      <c r="AK14" s="2" t="s">
        <v>50</v>
      </c>
    </row>
    <row r="15" spans="1:37" ht="15" customHeight="1">
      <c r="A15">
        <v>13</v>
      </c>
      <c r="B15" s="2" t="s">
        <v>160</v>
      </c>
      <c r="C15" s="2" t="s">
        <v>161</v>
      </c>
      <c r="D15" s="2" t="s">
        <v>38</v>
      </c>
      <c r="E15" s="2" t="s">
        <v>39</v>
      </c>
      <c r="F15" s="2" t="s">
        <v>173</v>
      </c>
      <c r="G15" s="3">
        <v>1240.42</v>
      </c>
      <c r="H15" s="4"/>
      <c r="I15" s="5">
        <v>67</v>
      </c>
      <c r="J15" s="2" t="s">
        <v>91</v>
      </c>
      <c r="K15" s="2" t="s">
        <v>949</v>
      </c>
      <c r="L15" s="2" t="s">
        <v>44</v>
      </c>
      <c r="M15" s="2" t="s">
        <v>45</v>
      </c>
      <c r="N15" s="2" t="s">
        <v>175</v>
      </c>
      <c r="O15" s="2" t="s">
        <v>176</v>
      </c>
      <c r="P15" s="2" t="s">
        <v>174</v>
      </c>
      <c r="Q15" s="2"/>
      <c r="R15" s="2" t="s">
        <v>177</v>
      </c>
      <c r="S15" s="2" t="s">
        <v>162</v>
      </c>
      <c r="T15" s="2"/>
      <c r="U15" s="2" t="s">
        <v>163</v>
      </c>
      <c r="V15" s="10" t="s">
        <v>35</v>
      </c>
      <c r="W15" s="11"/>
      <c r="X15" s="2" t="s">
        <v>164</v>
      </c>
      <c r="Y15" s="10" t="s">
        <v>37</v>
      </c>
      <c r="Z15" s="12"/>
      <c r="AA15" s="11"/>
      <c r="AB15" s="10" t="s">
        <v>165</v>
      </c>
      <c r="AC15" s="12"/>
      <c r="AD15" s="11"/>
      <c r="AE15" s="2"/>
      <c r="AF15" s="2" t="s">
        <v>166</v>
      </c>
      <c r="AG15" s="2" t="s">
        <v>167</v>
      </c>
      <c r="AH15" s="2"/>
      <c r="AI15" s="2" t="s">
        <v>61</v>
      </c>
      <c r="AJ15" s="2" t="s">
        <v>178</v>
      </c>
      <c r="AK15" s="2" t="s">
        <v>50</v>
      </c>
    </row>
    <row r="16" spans="1:37" ht="15" customHeight="1">
      <c r="A16">
        <v>14</v>
      </c>
      <c r="B16" s="2" t="s">
        <v>179</v>
      </c>
      <c r="C16" s="2" t="s">
        <v>69</v>
      </c>
      <c r="D16" s="2" t="s">
        <v>38</v>
      </c>
      <c r="E16" s="2" t="s">
        <v>39</v>
      </c>
      <c r="F16" s="2" t="s">
        <v>62</v>
      </c>
      <c r="G16" s="3">
        <v>0</v>
      </c>
      <c r="H16" s="4"/>
      <c r="I16" s="5">
        <v>5000</v>
      </c>
      <c r="J16" s="2" t="s">
        <v>91</v>
      </c>
      <c r="K16" s="2" t="s">
        <v>951</v>
      </c>
      <c r="L16" s="2" t="s">
        <v>44</v>
      </c>
      <c r="M16" s="2" t="s">
        <v>45</v>
      </c>
      <c r="N16" s="2" t="s">
        <v>184</v>
      </c>
      <c r="O16" s="2" t="s">
        <v>93</v>
      </c>
      <c r="P16" s="2"/>
      <c r="Q16" s="2" t="s">
        <v>185</v>
      </c>
      <c r="R16" s="2"/>
      <c r="S16" s="2"/>
      <c r="T16" s="2"/>
      <c r="U16" s="2" t="s">
        <v>86</v>
      </c>
      <c r="V16" s="10" t="s">
        <v>35</v>
      </c>
      <c r="W16" s="11"/>
      <c r="X16" s="2" t="s">
        <v>180</v>
      </c>
      <c r="Y16" s="10" t="s">
        <v>37</v>
      </c>
      <c r="Z16" s="12"/>
      <c r="AA16" s="11"/>
      <c r="AB16" s="10" t="s">
        <v>181</v>
      </c>
      <c r="AC16" s="12"/>
      <c r="AD16" s="11"/>
      <c r="AE16" s="2"/>
      <c r="AF16" s="2"/>
      <c r="AG16" s="2" t="s">
        <v>182</v>
      </c>
      <c r="AH16" s="2" t="s">
        <v>183</v>
      </c>
      <c r="AI16" s="2" t="s">
        <v>61</v>
      </c>
      <c r="AJ16" s="2" t="s">
        <v>186</v>
      </c>
      <c r="AK16" s="2"/>
    </row>
    <row r="17" spans="1:37" ht="15" customHeight="1">
      <c r="A17">
        <v>15</v>
      </c>
      <c r="B17" s="2" t="s">
        <v>187</v>
      </c>
      <c r="C17" s="2" t="s">
        <v>69</v>
      </c>
      <c r="D17" s="2" t="s">
        <v>38</v>
      </c>
      <c r="E17" s="2" t="s">
        <v>39</v>
      </c>
      <c r="F17" s="2" t="s">
        <v>62</v>
      </c>
      <c r="G17" s="3">
        <v>0</v>
      </c>
      <c r="H17" s="4"/>
      <c r="I17" s="5">
        <v>10000</v>
      </c>
      <c r="J17" s="2" t="s">
        <v>80</v>
      </c>
      <c r="K17" s="2" t="s">
        <v>952</v>
      </c>
      <c r="L17" s="2" t="s">
        <v>44</v>
      </c>
      <c r="M17" s="2" t="s">
        <v>45</v>
      </c>
      <c r="N17" s="2" t="s">
        <v>192</v>
      </c>
      <c r="O17" s="2" t="s">
        <v>112</v>
      </c>
      <c r="P17" s="2"/>
      <c r="Q17" s="2" t="s">
        <v>193</v>
      </c>
      <c r="R17" s="2"/>
      <c r="S17" s="2" t="s">
        <v>188</v>
      </c>
      <c r="T17" s="2"/>
      <c r="U17" s="2" t="s">
        <v>189</v>
      </c>
      <c r="V17" s="10" t="s">
        <v>35</v>
      </c>
      <c r="W17" s="11"/>
      <c r="X17" s="2"/>
      <c r="Y17" s="10" t="s">
        <v>37</v>
      </c>
      <c r="Z17" s="12"/>
      <c r="AA17" s="11"/>
      <c r="AB17" s="10" t="s">
        <v>190</v>
      </c>
      <c r="AC17" s="12"/>
      <c r="AD17" s="11"/>
      <c r="AE17" s="2"/>
      <c r="AF17" s="2"/>
      <c r="AG17" s="2" t="s">
        <v>191</v>
      </c>
      <c r="AH17" s="2"/>
      <c r="AI17" s="2" t="s">
        <v>61</v>
      </c>
      <c r="AJ17" s="2" t="s">
        <v>194</v>
      </c>
      <c r="AK17" s="2"/>
    </row>
    <row r="18" spans="1:37" ht="15" customHeight="1">
      <c r="A18">
        <v>16</v>
      </c>
      <c r="B18" s="2" t="s">
        <v>195</v>
      </c>
      <c r="C18" s="2" t="s">
        <v>196</v>
      </c>
      <c r="D18" s="2" t="s">
        <v>38</v>
      </c>
      <c r="E18" s="2" t="s">
        <v>39</v>
      </c>
      <c r="F18" s="2" t="s">
        <v>62</v>
      </c>
      <c r="G18" s="3">
        <v>593.19000000000005</v>
      </c>
      <c r="H18" s="4"/>
      <c r="I18" s="5">
        <v>55</v>
      </c>
      <c r="J18" s="2" t="s">
        <v>80</v>
      </c>
      <c r="K18" s="2" t="s">
        <v>949</v>
      </c>
      <c r="L18" s="2" t="s">
        <v>44</v>
      </c>
      <c r="M18" s="2" t="s">
        <v>45</v>
      </c>
      <c r="N18" s="2" t="s">
        <v>205</v>
      </c>
      <c r="O18" s="2" t="s">
        <v>157</v>
      </c>
      <c r="P18" s="2" t="s">
        <v>204</v>
      </c>
      <c r="Q18" s="2"/>
      <c r="R18" s="2" t="s">
        <v>206</v>
      </c>
      <c r="S18" s="2" t="s">
        <v>197</v>
      </c>
      <c r="T18" s="2"/>
      <c r="U18" s="2" t="s">
        <v>198</v>
      </c>
      <c r="V18" s="10" t="s">
        <v>35</v>
      </c>
      <c r="W18" s="11"/>
      <c r="X18" s="2" t="s">
        <v>199</v>
      </c>
      <c r="Y18" s="10" t="s">
        <v>56</v>
      </c>
      <c r="Z18" s="12"/>
      <c r="AA18" s="11"/>
      <c r="AB18" s="10" t="s">
        <v>200</v>
      </c>
      <c r="AC18" s="12"/>
      <c r="AD18" s="11"/>
      <c r="AE18" s="2"/>
      <c r="AF18" s="2" t="s">
        <v>201</v>
      </c>
      <c r="AG18" s="2" t="s">
        <v>202</v>
      </c>
      <c r="AH18" s="2" t="s">
        <v>203</v>
      </c>
      <c r="AI18" s="2" t="s">
        <v>61</v>
      </c>
      <c r="AJ18" s="2" t="s">
        <v>207</v>
      </c>
      <c r="AK18" s="2" t="s">
        <v>50</v>
      </c>
    </row>
    <row r="19" spans="1:37" ht="15" customHeight="1">
      <c r="A19">
        <v>17</v>
      </c>
      <c r="B19" s="2" t="s">
        <v>208</v>
      </c>
      <c r="C19" s="2" t="s">
        <v>209</v>
      </c>
      <c r="D19" s="2" t="s">
        <v>38</v>
      </c>
      <c r="E19" s="2" t="s">
        <v>39</v>
      </c>
      <c r="F19" s="2" t="s">
        <v>41</v>
      </c>
      <c r="G19" s="3">
        <v>4911</v>
      </c>
      <c r="H19" s="4"/>
      <c r="I19" s="5">
        <v>860</v>
      </c>
      <c r="J19" s="2" t="s">
        <v>80</v>
      </c>
      <c r="K19" s="2" t="s">
        <v>949</v>
      </c>
      <c r="L19" s="2" t="s">
        <v>44</v>
      </c>
      <c r="M19" s="2" t="s">
        <v>45</v>
      </c>
      <c r="N19" s="2" t="s">
        <v>216</v>
      </c>
      <c r="O19" s="2" t="s">
        <v>157</v>
      </c>
      <c r="P19" s="2" t="s">
        <v>204</v>
      </c>
      <c r="Q19" s="2"/>
      <c r="R19" s="2" t="s">
        <v>217</v>
      </c>
      <c r="S19" s="2" t="s">
        <v>210</v>
      </c>
      <c r="T19" s="2"/>
      <c r="U19" s="2" t="s">
        <v>211</v>
      </c>
      <c r="V19" s="10" t="s">
        <v>35</v>
      </c>
      <c r="W19" s="11"/>
      <c r="X19" s="2" t="s">
        <v>212</v>
      </c>
      <c r="Y19" s="10" t="s">
        <v>120</v>
      </c>
      <c r="Z19" s="12"/>
      <c r="AA19" s="11"/>
      <c r="AB19" s="10" t="s">
        <v>213</v>
      </c>
      <c r="AC19" s="12"/>
      <c r="AD19" s="11"/>
      <c r="AE19" s="2"/>
      <c r="AF19" s="2" t="s">
        <v>214</v>
      </c>
      <c r="AG19" s="2" t="s">
        <v>215</v>
      </c>
      <c r="AH19" s="2"/>
      <c r="AI19" s="2" t="s">
        <v>168</v>
      </c>
      <c r="AJ19" s="2" t="s">
        <v>218</v>
      </c>
      <c r="AK19" s="2" t="s">
        <v>50</v>
      </c>
    </row>
    <row r="20" spans="1:37" ht="15" customHeight="1">
      <c r="A20">
        <v>18</v>
      </c>
      <c r="B20" s="2" t="s">
        <v>219</v>
      </c>
      <c r="C20" s="2" t="s">
        <v>220</v>
      </c>
      <c r="D20" s="2" t="s">
        <v>38</v>
      </c>
      <c r="E20" s="2" t="s">
        <v>39</v>
      </c>
      <c r="F20" s="2" t="s">
        <v>62</v>
      </c>
      <c r="G20" s="3">
        <v>3358</v>
      </c>
      <c r="H20" s="4"/>
      <c r="I20" s="5">
        <v>175</v>
      </c>
      <c r="J20" s="2" t="s">
        <v>80</v>
      </c>
      <c r="K20" s="2" t="s">
        <v>949</v>
      </c>
      <c r="L20" s="2" t="s">
        <v>44</v>
      </c>
      <c r="M20" s="2" t="s">
        <v>45</v>
      </c>
      <c r="N20" s="2" t="s">
        <v>223</v>
      </c>
      <c r="O20" s="2" t="s">
        <v>157</v>
      </c>
      <c r="P20" s="2" t="s">
        <v>222</v>
      </c>
      <c r="Q20" s="2"/>
      <c r="R20" s="2" t="s">
        <v>224</v>
      </c>
      <c r="S20" s="2" t="s">
        <v>221</v>
      </c>
      <c r="T20" s="2"/>
      <c r="U20" s="2" t="s">
        <v>54</v>
      </c>
      <c r="V20" s="10" t="s">
        <v>35</v>
      </c>
      <c r="W20" s="11"/>
      <c r="X20" s="2" t="s">
        <v>55</v>
      </c>
      <c r="Y20" s="10" t="s">
        <v>141</v>
      </c>
      <c r="Z20" s="12"/>
      <c r="AA20" s="11"/>
      <c r="AB20" s="10"/>
      <c r="AC20" s="12"/>
      <c r="AD20" s="11"/>
      <c r="AE20" s="2"/>
      <c r="AF20" s="2"/>
      <c r="AG20" s="2"/>
      <c r="AH20" s="2"/>
      <c r="AI20" s="2" t="s">
        <v>61</v>
      </c>
      <c r="AJ20" s="2" t="s">
        <v>225</v>
      </c>
      <c r="AK20" s="2" t="s">
        <v>50</v>
      </c>
    </row>
    <row r="21" spans="1:37" ht="15" customHeight="1">
      <c r="A21">
        <v>19</v>
      </c>
      <c r="B21" s="2" t="s">
        <v>226</v>
      </c>
      <c r="C21" s="2" t="s">
        <v>227</v>
      </c>
      <c r="D21" s="2" t="s">
        <v>38</v>
      </c>
      <c r="E21" s="2" t="s">
        <v>39</v>
      </c>
      <c r="F21" s="2" t="s">
        <v>41</v>
      </c>
      <c r="G21" s="3">
        <v>732</v>
      </c>
      <c r="H21" s="4"/>
      <c r="I21" s="5">
        <v>350</v>
      </c>
      <c r="J21" s="2" t="s">
        <v>91</v>
      </c>
      <c r="K21" s="2" t="s">
        <v>949</v>
      </c>
      <c r="L21" s="2" t="s">
        <v>44</v>
      </c>
      <c r="M21" s="2" t="s">
        <v>45</v>
      </c>
      <c r="N21" s="2" t="s">
        <v>233</v>
      </c>
      <c r="O21" s="2" t="s">
        <v>93</v>
      </c>
      <c r="P21" s="2" t="s">
        <v>232</v>
      </c>
      <c r="Q21" s="2"/>
      <c r="R21" s="2" t="s">
        <v>234</v>
      </c>
      <c r="S21" s="2" t="s">
        <v>228</v>
      </c>
      <c r="T21" s="2"/>
      <c r="U21" s="2" t="s">
        <v>229</v>
      </c>
      <c r="V21" s="10" t="s">
        <v>35</v>
      </c>
      <c r="W21" s="11"/>
      <c r="X21" s="2" t="s">
        <v>230</v>
      </c>
      <c r="Y21" s="10" t="s">
        <v>141</v>
      </c>
      <c r="Z21" s="12"/>
      <c r="AA21" s="11"/>
      <c r="AB21" s="10"/>
      <c r="AC21" s="12"/>
      <c r="AD21" s="11"/>
      <c r="AE21" s="2"/>
      <c r="AF21" s="2"/>
      <c r="AG21" s="2"/>
      <c r="AH21" s="2"/>
      <c r="AI21" s="2" t="s">
        <v>231</v>
      </c>
      <c r="AJ21" s="2" t="s">
        <v>235</v>
      </c>
      <c r="AK21" s="2" t="s">
        <v>50</v>
      </c>
    </row>
    <row r="22" spans="1:37" ht="15" customHeight="1">
      <c r="A22">
        <v>20</v>
      </c>
      <c r="B22" s="2" t="s">
        <v>236</v>
      </c>
      <c r="C22" s="2" t="s">
        <v>237</v>
      </c>
      <c r="D22" s="2" t="s">
        <v>38</v>
      </c>
      <c r="E22" s="2" t="s">
        <v>39</v>
      </c>
      <c r="F22" s="2" t="s">
        <v>241</v>
      </c>
      <c r="G22" s="3">
        <v>655.4</v>
      </c>
      <c r="H22" s="4"/>
      <c r="I22" s="5">
        <v>55</v>
      </c>
      <c r="J22" s="2" t="s">
        <v>91</v>
      </c>
      <c r="K22" s="2" t="s">
        <v>949</v>
      </c>
      <c r="L22" s="2" t="s">
        <v>44</v>
      </c>
      <c r="M22" s="2" t="s">
        <v>45</v>
      </c>
      <c r="N22" s="2" t="s">
        <v>242</v>
      </c>
      <c r="O22" s="2" t="s">
        <v>82</v>
      </c>
      <c r="P22" s="2" t="s">
        <v>204</v>
      </c>
      <c r="Q22" s="2"/>
      <c r="R22" s="2" t="s">
        <v>243</v>
      </c>
      <c r="S22" s="2" t="s">
        <v>238</v>
      </c>
      <c r="T22" s="2"/>
      <c r="U22" s="2" t="s">
        <v>239</v>
      </c>
      <c r="V22" s="10" t="s">
        <v>35</v>
      </c>
      <c r="W22" s="11"/>
      <c r="X22" s="2" t="s">
        <v>240</v>
      </c>
      <c r="Y22" s="10" t="s">
        <v>120</v>
      </c>
      <c r="Z22" s="12"/>
      <c r="AA22" s="11"/>
      <c r="AB22" s="10"/>
      <c r="AC22" s="12"/>
      <c r="AD22" s="11"/>
      <c r="AE22" s="2"/>
      <c r="AF22" s="2"/>
      <c r="AG22" s="2"/>
      <c r="AH22" s="2"/>
      <c r="AI22" s="2" t="s">
        <v>61</v>
      </c>
      <c r="AJ22" s="2" t="s">
        <v>244</v>
      </c>
      <c r="AK22" s="2" t="s">
        <v>50</v>
      </c>
    </row>
    <row r="23" spans="1:37" ht="15" customHeight="1">
      <c r="A23">
        <v>21</v>
      </c>
      <c r="B23" s="2" t="s">
        <v>245</v>
      </c>
      <c r="C23" s="2" t="s">
        <v>246</v>
      </c>
      <c r="D23" s="2" t="s">
        <v>38</v>
      </c>
      <c r="E23" s="2" t="s">
        <v>39</v>
      </c>
      <c r="F23" s="2" t="s">
        <v>62</v>
      </c>
      <c r="G23" s="3">
        <v>1388</v>
      </c>
      <c r="H23" s="4"/>
      <c r="I23" s="5">
        <v>110</v>
      </c>
      <c r="J23" s="2" t="s">
        <v>80</v>
      </c>
      <c r="K23" s="2" t="s">
        <v>949</v>
      </c>
      <c r="L23" s="2" t="s">
        <v>44</v>
      </c>
      <c r="M23" s="2" t="s">
        <v>45</v>
      </c>
      <c r="N23" s="2" t="s">
        <v>252</v>
      </c>
      <c r="O23" s="2" t="s">
        <v>157</v>
      </c>
      <c r="P23" s="2" t="s">
        <v>232</v>
      </c>
      <c r="Q23" s="2"/>
      <c r="R23" s="2" t="s">
        <v>253</v>
      </c>
      <c r="S23" s="2" t="s">
        <v>247</v>
      </c>
      <c r="T23" s="2" t="s">
        <v>248</v>
      </c>
      <c r="U23" s="2" t="s">
        <v>54</v>
      </c>
      <c r="V23" s="10" t="s">
        <v>35</v>
      </c>
      <c r="W23" s="11"/>
      <c r="X23" s="2" t="s">
        <v>55</v>
      </c>
      <c r="Y23" s="10" t="s">
        <v>141</v>
      </c>
      <c r="Z23" s="12"/>
      <c r="AA23" s="11"/>
      <c r="AB23" s="10" t="s">
        <v>249</v>
      </c>
      <c r="AC23" s="12"/>
      <c r="AD23" s="11"/>
      <c r="AE23" s="2"/>
      <c r="AF23" s="2" t="s">
        <v>250</v>
      </c>
      <c r="AG23" s="2" t="s">
        <v>251</v>
      </c>
      <c r="AH23" s="2"/>
      <c r="AI23" s="2" t="s">
        <v>61</v>
      </c>
      <c r="AJ23" s="2" t="s">
        <v>254</v>
      </c>
      <c r="AK23" s="2" t="s">
        <v>50</v>
      </c>
    </row>
    <row r="24" spans="1:37" ht="15" customHeight="1">
      <c r="A24">
        <v>22</v>
      </c>
      <c r="B24" s="2" t="s">
        <v>255</v>
      </c>
      <c r="C24" s="2" t="s">
        <v>69</v>
      </c>
      <c r="D24" s="2" t="s">
        <v>38</v>
      </c>
      <c r="E24" s="2" t="s">
        <v>39</v>
      </c>
      <c r="F24" s="2" t="s">
        <v>41</v>
      </c>
      <c r="G24" s="3">
        <v>0</v>
      </c>
      <c r="H24" s="4"/>
      <c r="I24" s="5">
        <v>5000</v>
      </c>
      <c r="J24" s="2" t="s">
        <v>91</v>
      </c>
      <c r="K24" s="2" t="s">
        <v>951</v>
      </c>
      <c r="L24" s="2" t="s">
        <v>44</v>
      </c>
      <c r="M24" s="2" t="s">
        <v>45</v>
      </c>
      <c r="N24" s="2" t="s">
        <v>260</v>
      </c>
      <c r="O24" s="2" t="s">
        <v>93</v>
      </c>
      <c r="P24" s="2"/>
      <c r="Q24" s="2"/>
      <c r="R24" s="2"/>
      <c r="S24" s="2"/>
      <c r="T24" s="2"/>
      <c r="U24" s="2" t="s">
        <v>256</v>
      </c>
      <c r="V24" s="10" t="s">
        <v>35</v>
      </c>
      <c r="W24" s="11"/>
      <c r="X24" s="2"/>
      <c r="Y24" s="10" t="s">
        <v>37</v>
      </c>
      <c r="Z24" s="12"/>
      <c r="AA24" s="11"/>
      <c r="AB24" s="10" t="s">
        <v>257</v>
      </c>
      <c r="AC24" s="12"/>
      <c r="AD24" s="11"/>
      <c r="AE24" s="2"/>
      <c r="AF24" s="2" t="s">
        <v>258</v>
      </c>
      <c r="AG24" s="2" t="s">
        <v>259</v>
      </c>
      <c r="AH24" s="2"/>
      <c r="AI24" s="2" t="s">
        <v>61</v>
      </c>
      <c r="AJ24" s="2" t="s">
        <v>261</v>
      </c>
      <c r="AK24" s="2" t="s">
        <v>50</v>
      </c>
    </row>
    <row r="25" spans="1:37" ht="15" customHeight="1">
      <c r="A25">
        <v>23</v>
      </c>
      <c r="B25" s="2" t="s">
        <v>262</v>
      </c>
      <c r="C25" s="2" t="s">
        <v>69</v>
      </c>
      <c r="D25" s="2" t="s">
        <v>38</v>
      </c>
      <c r="E25" s="2" t="s">
        <v>39</v>
      </c>
      <c r="F25" s="2" t="s">
        <v>41</v>
      </c>
      <c r="G25" s="3">
        <v>0</v>
      </c>
      <c r="H25" s="4"/>
      <c r="I25" s="5">
        <v>1500</v>
      </c>
      <c r="J25" s="2" t="s">
        <v>91</v>
      </c>
      <c r="K25" s="2" t="s">
        <v>952</v>
      </c>
      <c r="L25" s="2" t="s">
        <v>44</v>
      </c>
      <c r="M25" s="2" t="s">
        <v>45</v>
      </c>
      <c r="N25" s="2" t="s">
        <v>268</v>
      </c>
      <c r="O25" s="2" t="s">
        <v>93</v>
      </c>
      <c r="P25" s="2"/>
      <c r="Q25" s="2"/>
      <c r="R25" s="2"/>
      <c r="S25" s="2" t="s">
        <v>263</v>
      </c>
      <c r="T25" s="2"/>
      <c r="U25" s="2" t="s">
        <v>264</v>
      </c>
      <c r="V25" s="10" t="s">
        <v>35</v>
      </c>
      <c r="W25" s="11"/>
      <c r="X25" s="2" t="s">
        <v>265</v>
      </c>
      <c r="Y25" s="10" t="s">
        <v>79</v>
      </c>
      <c r="Z25" s="12"/>
      <c r="AA25" s="11"/>
      <c r="AB25" s="10" t="s">
        <v>266</v>
      </c>
      <c r="AC25" s="12"/>
      <c r="AD25" s="11"/>
      <c r="AE25" s="2"/>
      <c r="AF25" s="2"/>
      <c r="AG25" s="2" t="s">
        <v>267</v>
      </c>
      <c r="AH25" s="2"/>
      <c r="AI25" s="2" t="s">
        <v>61</v>
      </c>
      <c r="AJ25" s="2" t="s">
        <v>269</v>
      </c>
      <c r="AK25" s="2" t="s">
        <v>50</v>
      </c>
    </row>
    <row r="26" spans="1:37" ht="15" customHeight="1">
      <c r="A26">
        <v>24</v>
      </c>
      <c r="B26" s="2" t="s">
        <v>270</v>
      </c>
      <c r="C26" s="2" t="s">
        <v>69</v>
      </c>
      <c r="D26" s="2" t="s">
        <v>38</v>
      </c>
      <c r="E26" s="2" t="s">
        <v>39</v>
      </c>
      <c r="F26" s="2" t="s">
        <v>41</v>
      </c>
      <c r="G26" s="3">
        <v>0</v>
      </c>
      <c r="H26" s="4"/>
      <c r="I26" s="5">
        <v>5000</v>
      </c>
      <c r="J26" s="2" t="s">
        <v>91</v>
      </c>
      <c r="K26" s="2" t="s">
        <v>951</v>
      </c>
      <c r="L26" s="2" t="s">
        <v>44</v>
      </c>
      <c r="M26" s="2" t="s">
        <v>45</v>
      </c>
      <c r="N26" s="2" t="s">
        <v>277</v>
      </c>
      <c r="O26" s="2" t="s">
        <v>93</v>
      </c>
      <c r="P26" s="2"/>
      <c r="Q26" s="2"/>
      <c r="R26" s="2"/>
      <c r="S26" s="2" t="s">
        <v>271</v>
      </c>
      <c r="T26" s="2"/>
      <c r="U26" s="2" t="s">
        <v>272</v>
      </c>
      <c r="V26" s="10" t="s">
        <v>273</v>
      </c>
      <c r="W26" s="11"/>
      <c r="X26" s="2" t="s">
        <v>274</v>
      </c>
      <c r="Y26" s="10" t="s">
        <v>37</v>
      </c>
      <c r="Z26" s="12"/>
      <c r="AA26" s="11"/>
      <c r="AB26" s="10" t="s">
        <v>275</v>
      </c>
      <c r="AC26" s="12"/>
      <c r="AD26" s="11"/>
      <c r="AE26" s="2"/>
      <c r="AF26" s="2"/>
      <c r="AG26" s="2"/>
      <c r="AH26" s="2" t="s">
        <v>276</v>
      </c>
      <c r="AI26" s="2" t="s">
        <v>61</v>
      </c>
      <c r="AJ26" s="2" t="s">
        <v>278</v>
      </c>
      <c r="AK26" s="2" t="s">
        <v>50</v>
      </c>
    </row>
    <row r="27" spans="1:37" ht="15" customHeight="1">
      <c r="A27">
        <v>25</v>
      </c>
      <c r="B27" s="2" t="s">
        <v>279</v>
      </c>
      <c r="C27" s="2" t="s">
        <v>69</v>
      </c>
      <c r="D27" s="2" t="s">
        <v>38</v>
      </c>
      <c r="E27" s="2" t="s">
        <v>39</v>
      </c>
      <c r="F27" s="2" t="s">
        <v>62</v>
      </c>
      <c r="G27" s="3">
        <v>0</v>
      </c>
      <c r="H27" s="4"/>
      <c r="I27" s="5">
        <v>10000</v>
      </c>
      <c r="J27" s="2" t="s">
        <v>91</v>
      </c>
      <c r="K27" s="2" t="s">
        <v>950</v>
      </c>
      <c r="L27" s="2" t="s">
        <v>44</v>
      </c>
      <c r="M27" s="2" t="s">
        <v>45</v>
      </c>
      <c r="N27" s="2" t="s">
        <v>285</v>
      </c>
      <c r="O27" s="2" t="s">
        <v>286</v>
      </c>
      <c r="P27" s="2"/>
      <c r="Q27" s="2" t="s">
        <v>287</v>
      </c>
      <c r="R27" s="2" t="s">
        <v>288</v>
      </c>
      <c r="S27" s="2" t="s">
        <v>280</v>
      </c>
      <c r="T27" s="2"/>
      <c r="U27" s="2" t="s">
        <v>281</v>
      </c>
      <c r="V27" s="10" t="s">
        <v>273</v>
      </c>
      <c r="W27" s="11"/>
      <c r="X27" s="2" t="s">
        <v>282</v>
      </c>
      <c r="Y27" s="10" t="s">
        <v>131</v>
      </c>
      <c r="Z27" s="12"/>
      <c r="AA27" s="11"/>
      <c r="AB27" s="10" t="s">
        <v>283</v>
      </c>
      <c r="AC27" s="12"/>
      <c r="AD27" s="11"/>
      <c r="AE27" s="2"/>
      <c r="AF27" s="2"/>
      <c r="AG27" s="2" t="s">
        <v>284</v>
      </c>
      <c r="AH27" s="2"/>
      <c r="AI27" s="2" t="s">
        <v>61</v>
      </c>
      <c r="AJ27" s="2" t="s">
        <v>289</v>
      </c>
      <c r="AK27" s="2"/>
    </row>
    <row r="28" spans="1:37" ht="15" customHeight="1">
      <c r="A28">
        <v>26</v>
      </c>
      <c r="B28" s="2" t="s">
        <v>290</v>
      </c>
      <c r="C28" s="2" t="s">
        <v>69</v>
      </c>
      <c r="D28" s="2" t="s">
        <v>38</v>
      </c>
      <c r="E28" s="2" t="s">
        <v>39</v>
      </c>
      <c r="F28" s="2" t="s">
        <v>41</v>
      </c>
      <c r="G28" s="3">
        <v>0</v>
      </c>
      <c r="H28" s="4"/>
      <c r="I28" s="5">
        <v>5000</v>
      </c>
      <c r="J28" s="2" t="s">
        <v>91</v>
      </c>
      <c r="K28" s="2" t="s">
        <v>951</v>
      </c>
      <c r="L28" s="2" t="s">
        <v>44</v>
      </c>
      <c r="M28" s="2" t="s">
        <v>45</v>
      </c>
      <c r="N28" s="2" t="s">
        <v>294</v>
      </c>
      <c r="O28" s="2" t="s">
        <v>93</v>
      </c>
      <c r="P28" s="2"/>
      <c r="Q28" s="2"/>
      <c r="R28" s="2"/>
      <c r="S28" s="2" t="s">
        <v>291</v>
      </c>
      <c r="T28" s="2"/>
      <c r="U28" s="2" t="s">
        <v>292</v>
      </c>
      <c r="V28" s="10" t="s">
        <v>273</v>
      </c>
      <c r="W28" s="11"/>
      <c r="X28" s="2"/>
      <c r="Y28" s="10" t="s">
        <v>293</v>
      </c>
      <c r="Z28" s="12"/>
      <c r="AA28" s="11"/>
      <c r="AB28" s="10"/>
      <c r="AC28" s="12"/>
      <c r="AD28" s="11"/>
      <c r="AE28" s="2"/>
      <c r="AF28" s="2"/>
      <c r="AG28" s="2"/>
      <c r="AH28" s="2"/>
      <c r="AI28" s="2" t="s">
        <v>61</v>
      </c>
      <c r="AJ28" s="2" t="s">
        <v>295</v>
      </c>
      <c r="AK28" s="2" t="s">
        <v>50</v>
      </c>
    </row>
    <row r="29" spans="1:37" ht="15" customHeight="1">
      <c r="A29">
        <v>27</v>
      </c>
      <c r="B29" s="2" t="s">
        <v>296</v>
      </c>
      <c r="C29" s="2" t="s">
        <v>69</v>
      </c>
      <c r="D29" s="2" t="s">
        <v>38</v>
      </c>
      <c r="E29" s="2" t="s">
        <v>39</v>
      </c>
      <c r="F29" s="2" t="s">
        <v>41</v>
      </c>
      <c r="G29" s="3">
        <v>0</v>
      </c>
      <c r="H29" s="4"/>
      <c r="I29" s="5">
        <v>1500</v>
      </c>
      <c r="J29" s="2" t="s">
        <v>91</v>
      </c>
      <c r="K29" s="2" t="s">
        <v>952</v>
      </c>
      <c r="L29" s="2" t="s">
        <v>44</v>
      </c>
      <c r="M29" s="2" t="s">
        <v>45</v>
      </c>
      <c r="N29" s="2" t="s">
        <v>300</v>
      </c>
      <c r="O29" s="2" t="s">
        <v>93</v>
      </c>
      <c r="P29" s="2"/>
      <c r="Q29" s="2"/>
      <c r="R29" s="2"/>
      <c r="S29" s="2"/>
      <c r="T29" s="2"/>
      <c r="U29" s="2" t="s">
        <v>297</v>
      </c>
      <c r="V29" s="10" t="s">
        <v>35</v>
      </c>
      <c r="W29" s="11"/>
      <c r="X29" s="2"/>
      <c r="Y29" s="10" t="s">
        <v>131</v>
      </c>
      <c r="Z29" s="12"/>
      <c r="AA29" s="11"/>
      <c r="AB29" s="10" t="s">
        <v>298</v>
      </c>
      <c r="AC29" s="12"/>
      <c r="AD29" s="11"/>
      <c r="AE29" s="2"/>
      <c r="AF29" s="2"/>
      <c r="AG29" s="2" t="s">
        <v>299</v>
      </c>
      <c r="AH29" s="2"/>
      <c r="AI29" s="2" t="s">
        <v>61</v>
      </c>
      <c r="AJ29" s="2" t="s">
        <v>301</v>
      </c>
      <c r="AK29" s="2" t="s">
        <v>50</v>
      </c>
    </row>
    <row r="30" spans="1:37" ht="15" customHeight="1">
      <c r="A30">
        <v>28</v>
      </c>
      <c r="B30" s="2" t="s">
        <v>302</v>
      </c>
      <c r="C30" s="2" t="s">
        <v>303</v>
      </c>
      <c r="D30" s="2" t="s">
        <v>38</v>
      </c>
      <c r="E30" s="2" t="s">
        <v>39</v>
      </c>
      <c r="F30" s="2" t="s">
        <v>62</v>
      </c>
      <c r="G30" s="3">
        <v>2097</v>
      </c>
      <c r="H30" s="4"/>
      <c r="I30" s="5">
        <v>185</v>
      </c>
      <c r="J30" s="2" t="s">
        <v>91</v>
      </c>
      <c r="K30" s="2" t="s">
        <v>949</v>
      </c>
      <c r="L30" s="2" t="s">
        <v>44</v>
      </c>
      <c r="M30" s="2" t="s">
        <v>45</v>
      </c>
      <c r="N30" s="2" t="s">
        <v>308</v>
      </c>
      <c r="O30" s="2" t="s">
        <v>309</v>
      </c>
      <c r="P30" s="2" t="s">
        <v>63</v>
      </c>
      <c r="Q30" s="2"/>
      <c r="R30" s="2" t="s">
        <v>310</v>
      </c>
      <c r="S30" s="2" t="s">
        <v>304</v>
      </c>
      <c r="T30" s="2"/>
      <c r="U30" s="2" t="s">
        <v>281</v>
      </c>
      <c r="V30" s="10" t="s">
        <v>35</v>
      </c>
      <c r="W30" s="11"/>
      <c r="X30" s="2" t="s">
        <v>282</v>
      </c>
      <c r="Y30" s="10" t="s">
        <v>141</v>
      </c>
      <c r="Z30" s="12"/>
      <c r="AA30" s="11"/>
      <c r="AB30" s="10" t="s">
        <v>305</v>
      </c>
      <c r="AC30" s="12"/>
      <c r="AD30" s="11"/>
      <c r="AE30" s="2"/>
      <c r="AF30" s="2" t="s">
        <v>306</v>
      </c>
      <c r="AG30" s="2" t="s">
        <v>307</v>
      </c>
      <c r="AH30" s="2"/>
      <c r="AI30" s="2" t="s">
        <v>61</v>
      </c>
      <c r="AJ30" s="2" t="s">
        <v>311</v>
      </c>
      <c r="AK30" s="2" t="s">
        <v>50</v>
      </c>
    </row>
    <row r="31" spans="1:37" ht="15" customHeight="1">
      <c r="A31">
        <v>29</v>
      </c>
      <c r="B31" s="2" t="s">
        <v>312</v>
      </c>
      <c r="C31" s="2" t="s">
        <v>313</v>
      </c>
      <c r="D31" s="2"/>
      <c r="E31" s="2" t="s">
        <v>39</v>
      </c>
      <c r="F31" s="2" t="s">
        <v>62</v>
      </c>
      <c r="G31" s="4"/>
      <c r="H31" s="4"/>
      <c r="I31" s="5">
        <v>7500</v>
      </c>
      <c r="J31" s="2" t="s">
        <v>91</v>
      </c>
      <c r="K31" s="2" t="s">
        <v>950</v>
      </c>
      <c r="L31" s="2" t="s">
        <v>44</v>
      </c>
      <c r="M31" s="2" t="s">
        <v>45</v>
      </c>
      <c r="N31" s="2" t="s">
        <v>318</v>
      </c>
      <c r="O31" s="2" t="s">
        <v>319</v>
      </c>
      <c r="P31" s="2"/>
      <c r="Q31" s="2"/>
      <c r="R31" s="2"/>
      <c r="S31" s="2" t="s">
        <v>314</v>
      </c>
      <c r="T31" s="2" t="s">
        <v>315</v>
      </c>
      <c r="U31" s="2" t="s">
        <v>316</v>
      </c>
      <c r="V31" s="10" t="s">
        <v>35</v>
      </c>
      <c r="W31" s="11"/>
      <c r="X31" s="2" t="s">
        <v>317</v>
      </c>
      <c r="Y31" s="10" t="s">
        <v>131</v>
      </c>
      <c r="Z31" s="12"/>
      <c r="AA31" s="11"/>
      <c r="AB31" s="10"/>
      <c r="AC31" s="12"/>
      <c r="AD31" s="11"/>
      <c r="AE31" s="2"/>
      <c r="AF31" s="2"/>
      <c r="AG31" s="2"/>
      <c r="AH31" s="2"/>
      <c r="AI31" s="2" t="s">
        <v>61</v>
      </c>
      <c r="AJ31" s="2" t="s">
        <v>320</v>
      </c>
      <c r="AK31" s="2" t="s">
        <v>50</v>
      </c>
    </row>
    <row r="32" spans="1:37" ht="15" customHeight="1">
      <c r="A32">
        <v>30</v>
      </c>
      <c r="B32" s="2" t="s">
        <v>321</v>
      </c>
      <c r="C32" s="2" t="s">
        <v>322</v>
      </c>
      <c r="D32" s="2" t="s">
        <v>38</v>
      </c>
      <c r="E32" s="2" t="s">
        <v>39</v>
      </c>
      <c r="F32" s="2" t="s">
        <v>241</v>
      </c>
      <c r="G32" s="3">
        <v>16765</v>
      </c>
      <c r="H32" s="4"/>
      <c r="I32" s="5">
        <v>1210</v>
      </c>
      <c r="J32" s="2" t="s">
        <v>91</v>
      </c>
      <c r="K32" s="2" t="s">
        <v>949</v>
      </c>
      <c r="L32" s="2" t="s">
        <v>44</v>
      </c>
      <c r="M32" s="2" t="s">
        <v>45</v>
      </c>
      <c r="N32" s="2" t="s">
        <v>327</v>
      </c>
      <c r="O32" s="2" t="s">
        <v>93</v>
      </c>
      <c r="P32" s="2" t="s">
        <v>63</v>
      </c>
      <c r="Q32" s="2"/>
      <c r="R32" s="2" t="s">
        <v>328</v>
      </c>
      <c r="S32" s="2" t="s">
        <v>323</v>
      </c>
      <c r="T32" s="2"/>
      <c r="U32" s="2" t="s">
        <v>34</v>
      </c>
      <c r="V32" s="10" t="s">
        <v>35</v>
      </c>
      <c r="W32" s="11"/>
      <c r="X32" s="2" t="s">
        <v>36</v>
      </c>
      <c r="Y32" s="10" t="s">
        <v>79</v>
      </c>
      <c r="Z32" s="12"/>
      <c r="AA32" s="11"/>
      <c r="AB32" s="10" t="s">
        <v>324</v>
      </c>
      <c r="AC32" s="12"/>
      <c r="AD32" s="11"/>
      <c r="AE32" s="2"/>
      <c r="AF32" s="2" t="s">
        <v>325</v>
      </c>
      <c r="AG32" s="2" t="s">
        <v>326</v>
      </c>
      <c r="AH32" s="2"/>
      <c r="AI32" s="2" t="s">
        <v>61</v>
      </c>
      <c r="AJ32" s="2" t="s">
        <v>329</v>
      </c>
      <c r="AK32" s="2" t="s">
        <v>50</v>
      </c>
    </row>
    <row r="33" spans="1:37" ht="15" customHeight="1">
      <c r="A33">
        <v>31</v>
      </c>
      <c r="B33" s="2" t="s">
        <v>330</v>
      </c>
      <c r="C33" s="2" t="s">
        <v>69</v>
      </c>
      <c r="D33" s="2" t="s">
        <v>38</v>
      </c>
      <c r="E33" s="2" t="s">
        <v>39</v>
      </c>
      <c r="F33" s="2" t="s">
        <v>41</v>
      </c>
      <c r="G33" s="3">
        <v>0</v>
      </c>
      <c r="H33" s="4"/>
      <c r="I33" s="5">
        <v>2000</v>
      </c>
      <c r="J33" s="2" t="s">
        <v>91</v>
      </c>
      <c r="K33" s="2" t="s">
        <v>951</v>
      </c>
      <c r="L33" s="2" t="s">
        <v>44</v>
      </c>
      <c r="M33" s="2" t="s">
        <v>45</v>
      </c>
      <c r="N33" s="2" t="s">
        <v>337</v>
      </c>
      <c r="O33" s="2" t="s">
        <v>93</v>
      </c>
      <c r="P33" s="2"/>
      <c r="Q33" s="2"/>
      <c r="R33" s="2"/>
      <c r="S33" s="2" t="s">
        <v>331</v>
      </c>
      <c r="T33" s="2"/>
      <c r="U33" s="2" t="s">
        <v>332</v>
      </c>
      <c r="V33" s="10" t="s">
        <v>273</v>
      </c>
      <c r="W33" s="11"/>
      <c r="X33" s="2" t="s">
        <v>333</v>
      </c>
      <c r="Y33" s="10" t="s">
        <v>334</v>
      </c>
      <c r="Z33" s="12"/>
      <c r="AA33" s="11"/>
      <c r="AB33" s="10" t="s">
        <v>335</v>
      </c>
      <c r="AC33" s="12"/>
      <c r="AD33" s="11"/>
      <c r="AE33" s="2"/>
      <c r="AF33" s="2"/>
      <c r="AG33" s="2" t="s">
        <v>336</v>
      </c>
      <c r="AH33" s="2"/>
      <c r="AI33" s="2" t="s">
        <v>61</v>
      </c>
      <c r="AJ33" s="2" t="s">
        <v>338</v>
      </c>
      <c r="AK33" s="2" t="s">
        <v>50</v>
      </c>
    </row>
    <row r="34" spans="1:37" ht="15" customHeight="1">
      <c r="A34">
        <v>32</v>
      </c>
      <c r="B34" s="2" t="s">
        <v>339</v>
      </c>
      <c r="C34" s="2" t="s">
        <v>340</v>
      </c>
      <c r="D34" s="2" t="s">
        <v>38</v>
      </c>
      <c r="E34" s="2" t="s">
        <v>39</v>
      </c>
      <c r="F34" s="2" t="s">
        <v>346</v>
      </c>
      <c r="G34" s="3">
        <v>0</v>
      </c>
      <c r="H34" s="4"/>
      <c r="I34" s="4"/>
      <c r="J34" s="2" t="s">
        <v>91</v>
      </c>
      <c r="K34" s="2" t="s">
        <v>949</v>
      </c>
      <c r="L34" s="2" t="s">
        <v>44</v>
      </c>
      <c r="M34" s="2" t="s">
        <v>45</v>
      </c>
      <c r="N34" s="2" t="s">
        <v>348</v>
      </c>
      <c r="O34" s="2" t="s">
        <v>204</v>
      </c>
      <c r="P34" s="2" t="s">
        <v>347</v>
      </c>
      <c r="Q34" s="2"/>
      <c r="R34" s="2" t="s">
        <v>349</v>
      </c>
      <c r="S34" s="2" t="s">
        <v>341</v>
      </c>
      <c r="T34" s="2"/>
      <c r="U34" s="2" t="s">
        <v>342</v>
      </c>
      <c r="V34" s="10" t="s">
        <v>35</v>
      </c>
      <c r="W34" s="11"/>
      <c r="X34" s="2" t="s">
        <v>343</v>
      </c>
      <c r="Y34" s="10" t="s">
        <v>120</v>
      </c>
      <c r="Z34" s="12"/>
      <c r="AA34" s="11"/>
      <c r="AB34" s="10" t="s">
        <v>344</v>
      </c>
      <c r="AC34" s="12"/>
      <c r="AD34" s="11"/>
      <c r="AE34" s="2"/>
      <c r="AF34" s="2"/>
      <c r="AG34" s="2" t="s">
        <v>345</v>
      </c>
      <c r="AH34" s="2"/>
      <c r="AI34" s="2" t="s">
        <v>61</v>
      </c>
      <c r="AJ34" s="2" t="s">
        <v>350</v>
      </c>
      <c r="AK34" s="2" t="s">
        <v>50</v>
      </c>
    </row>
    <row r="35" spans="1:37" ht="15" customHeight="1">
      <c r="A35">
        <v>33</v>
      </c>
      <c r="B35" s="2" t="s">
        <v>351</v>
      </c>
      <c r="C35" s="2" t="s">
        <v>352</v>
      </c>
      <c r="D35" s="2" t="s">
        <v>38</v>
      </c>
      <c r="E35" s="2" t="s">
        <v>39</v>
      </c>
      <c r="F35" s="2" t="s">
        <v>62</v>
      </c>
      <c r="G35" s="3">
        <v>70000</v>
      </c>
      <c r="H35" s="3">
        <v>9000</v>
      </c>
      <c r="I35" s="5">
        <v>6000</v>
      </c>
      <c r="J35" s="2" t="s">
        <v>80</v>
      </c>
      <c r="K35" s="2" t="s">
        <v>950</v>
      </c>
      <c r="L35" s="2" t="s">
        <v>44</v>
      </c>
      <c r="M35" s="2" t="s">
        <v>45</v>
      </c>
      <c r="N35" s="2" t="s">
        <v>359</v>
      </c>
      <c r="O35" s="2" t="s">
        <v>360</v>
      </c>
      <c r="P35" s="2"/>
      <c r="Q35" s="2" t="s">
        <v>361</v>
      </c>
      <c r="R35" s="2"/>
      <c r="S35" s="2" t="s">
        <v>353</v>
      </c>
      <c r="T35" s="2"/>
      <c r="U35" s="2" t="s">
        <v>163</v>
      </c>
      <c r="V35" s="10" t="s">
        <v>35</v>
      </c>
      <c r="W35" s="11"/>
      <c r="X35" s="2" t="s">
        <v>354</v>
      </c>
      <c r="Y35" s="10" t="s">
        <v>37</v>
      </c>
      <c r="Z35" s="12"/>
      <c r="AA35" s="11"/>
      <c r="AB35" s="10" t="s">
        <v>355</v>
      </c>
      <c r="AC35" s="12"/>
      <c r="AD35" s="11"/>
      <c r="AE35" s="2"/>
      <c r="AF35" s="2" t="s">
        <v>356</v>
      </c>
      <c r="AG35" s="2" t="s">
        <v>357</v>
      </c>
      <c r="AH35" s="2" t="s">
        <v>358</v>
      </c>
      <c r="AI35" s="2" t="s">
        <v>61</v>
      </c>
      <c r="AJ35" s="2" t="s">
        <v>362</v>
      </c>
      <c r="AK35" s="2"/>
    </row>
    <row r="36" spans="1:37" ht="15" customHeight="1">
      <c r="A36">
        <v>34</v>
      </c>
      <c r="B36" s="2" t="s">
        <v>363</v>
      </c>
      <c r="C36" s="2" t="s">
        <v>364</v>
      </c>
      <c r="D36" s="2" t="s">
        <v>38</v>
      </c>
      <c r="E36" s="2" t="s">
        <v>39</v>
      </c>
      <c r="F36" s="2" t="s">
        <v>41</v>
      </c>
      <c r="G36" s="3">
        <v>1274</v>
      </c>
      <c r="H36" s="4"/>
      <c r="I36" s="5">
        <v>150</v>
      </c>
      <c r="J36" s="2" t="s">
        <v>91</v>
      </c>
      <c r="K36" s="2" t="s">
        <v>949</v>
      </c>
      <c r="L36" s="2" t="s">
        <v>44</v>
      </c>
      <c r="M36" s="2" t="s">
        <v>45</v>
      </c>
      <c r="N36" s="2" t="s">
        <v>373</v>
      </c>
      <c r="O36" s="2" t="s">
        <v>374</v>
      </c>
      <c r="P36" s="2" t="s">
        <v>372</v>
      </c>
      <c r="Q36" s="2"/>
      <c r="R36" s="2" t="s">
        <v>375</v>
      </c>
      <c r="S36" s="2" t="s">
        <v>365</v>
      </c>
      <c r="T36" s="2" t="s">
        <v>366</v>
      </c>
      <c r="U36" s="2" t="s">
        <v>367</v>
      </c>
      <c r="V36" s="10" t="s">
        <v>35</v>
      </c>
      <c r="W36" s="11"/>
      <c r="X36" s="2" t="s">
        <v>368</v>
      </c>
      <c r="Y36" s="10" t="s">
        <v>79</v>
      </c>
      <c r="Z36" s="12"/>
      <c r="AA36" s="11"/>
      <c r="AB36" s="10" t="s">
        <v>369</v>
      </c>
      <c r="AC36" s="12"/>
      <c r="AD36" s="11"/>
      <c r="AE36" s="2"/>
      <c r="AF36" s="2" t="s">
        <v>370</v>
      </c>
      <c r="AG36" s="2" t="s">
        <v>371</v>
      </c>
      <c r="AH36" s="2"/>
      <c r="AI36" s="2" t="s">
        <v>168</v>
      </c>
      <c r="AJ36" s="2" t="s">
        <v>376</v>
      </c>
      <c r="AK36" s="2" t="s">
        <v>50</v>
      </c>
    </row>
    <row r="37" spans="1:37" ht="15" customHeight="1">
      <c r="A37">
        <v>35</v>
      </c>
      <c r="B37" s="2" t="s">
        <v>377</v>
      </c>
      <c r="C37" s="2" t="s">
        <v>378</v>
      </c>
      <c r="D37" s="2"/>
      <c r="E37" s="2" t="s">
        <v>39</v>
      </c>
      <c r="F37" s="2" t="s">
        <v>241</v>
      </c>
      <c r="G37" s="4"/>
      <c r="H37" s="4"/>
      <c r="I37" s="5">
        <v>3000</v>
      </c>
      <c r="J37" s="2" t="s">
        <v>91</v>
      </c>
      <c r="K37" s="2" t="s">
        <v>952</v>
      </c>
      <c r="L37" s="2" t="s">
        <v>44</v>
      </c>
      <c r="M37" s="2" t="s">
        <v>45</v>
      </c>
      <c r="N37" s="2" t="s">
        <v>382</v>
      </c>
      <c r="O37" s="2" t="s">
        <v>93</v>
      </c>
      <c r="P37" s="2"/>
      <c r="Q37" s="2"/>
      <c r="R37" s="2"/>
      <c r="S37" s="2" t="s">
        <v>379</v>
      </c>
      <c r="T37" s="2"/>
      <c r="U37" s="2" t="s">
        <v>380</v>
      </c>
      <c r="V37" s="10" t="s">
        <v>35</v>
      </c>
      <c r="W37" s="11"/>
      <c r="X37" s="2" t="s">
        <v>381</v>
      </c>
      <c r="Y37" s="10" t="s">
        <v>141</v>
      </c>
      <c r="Z37" s="12"/>
      <c r="AA37" s="11"/>
      <c r="AB37" s="10"/>
      <c r="AC37" s="12"/>
      <c r="AD37" s="11"/>
      <c r="AE37" s="2"/>
      <c r="AF37" s="2"/>
      <c r="AG37" s="2"/>
      <c r="AH37" s="2"/>
      <c r="AI37" s="2" t="s">
        <v>61</v>
      </c>
      <c r="AJ37" s="2" t="s">
        <v>383</v>
      </c>
      <c r="AK37" s="2" t="s">
        <v>50</v>
      </c>
    </row>
    <row r="38" spans="1:37" ht="15" customHeight="1">
      <c r="A38">
        <v>36</v>
      </c>
      <c r="B38" s="2" t="s">
        <v>384</v>
      </c>
      <c r="C38" s="2" t="s">
        <v>69</v>
      </c>
      <c r="D38" s="2" t="s">
        <v>38</v>
      </c>
      <c r="E38" s="2" t="s">
        <v>39</v>
      </c>
      <c r="F38" s="2" t="s">
        <v>41</v>
      </c>
      <c r="G38" s="3">
        <v>0</v>
      </c>
      <c r="H38" s="4"/>
      <c r="I38" s="5">
        <v>10000</v>
      </c>
      <c r="J38" s="2" t="s">
        <v>91</v>
      </c>
      <c r="K38" s="2" t="s">
        <v>951</v>
      </c>
      <c r="L38" s="2" t="s">
        <v>44</v>
      </c>
      <c r="M38" s="2" t="s">
        <v>45</v>
      </c>
      <c r="N38" s="2" t="s">
        <v>389</v>
      </c>
      <c r="O38" s="2" t="s">
        <v>93</v>
      </c>
      <c r="P38" s="2"/>
      <c r="Q38" s="2"/>
      <c r="R38" s="2" t="s">
        <v>390</v>
      </c>
      <c r="S38" s="2" t="s">
        <v>385</v>
      </c>
      <c r="T38" s="2"/>
      <c r="U38" s="2" t="s">
        <v>386</v>
      </c>
      <c r="V38" s="10" t="s">
        <v>35</v>
      </c>
      <c r="W38" s="11"/>
      <c r="X38" s="2" t="s">
        <v>387</v>
      </c>
      <c r="Y38" s="10" t="s">
        <v>131</v>
      </c>
      <c r="Z38" s="12"/>
      <c r="AA38" s="11"/>
      <c r="AB38" s="10" t="s">
        <v>298</v>
      </c>
      <c r="AC38" s="12"/>
      <c r="AD38" s="11"/>
      <c r="AE38" s="2"/>
      <c r="AF38" s="2"/>
      <c r="AG38" s="2" t="s">
        <v>388</v>
      </c>
      <c r="AH38" s="2"/>
      <c r="AI38" s="2" t="s">
        <v>61</v>
      </c>
      <c r="AJ38" s="2" t="s">
        <v>391</v>
      </c>
      <c r="AK38" s="2" t="s">
        <v>50</v>
      </c>
    </row>
    <row r="39" spans="1:37" ht="15" customHeight="1">
      <c r="A39">
        <v>37</v>
      </c>
      <c r="B39" s="2" t="s">
        <v>392</v>
      </c>
      <c r="C39" s="2" t="s">
        <v>69</v>
      </c>
      <c r="D39" s="2" t="s">
        <v>38</v>
      </c>
      <c r="E39" s="2" t="s">
        <v>39</v>
      </c>
      <c r="F39" s="2" t="s">
        <v>62</v>
      </c>
      <c r="G39" s="3">
        <v>35000</v>
      </c>
      <c r="H39" s="3">
        <v>6000</v>
      </c>
      <c r="I39" s="5">
        <v>3500</v>
      </c>
      <c r="J39" s="2" t="s">
        <v>91</v>
      </c>
      <c r="K39" s="2" t="s">
        <v>953</v>
      </c>
      <c r="L39" s="2" t="s">
        <v>44</v>
      </c>
      <c r="M39" s="2" t="s">
        <v>45</v>
      </c>
      <c r="N39" s="2" t="s">
        <v>396</v>
      </c>
      <c r="O39" s="2" t="s">
        <v>397</v>
      </c>
      <c r="P39" s="2" t="s">
        <v>395</v>
      </c>
      <c r="Q39" s="2"/>
      <c r="R39" s="2"/>
      <c r="S39" s="2" t="s">
        <v>393</v>
      </c>
      <c r="T39" s="2"/>
      <c r="U39" s="2" t="s">
        <v>394</v>
      </c>
      <c r="V39" s="10" t="s">
        <v>35</v>
      </c>
      <c r="W39" s="11"/>
      <c r="X39" s="2" t="s">
        <v>265</v>
      </c>
      <c r="Y39" s="10" t="s">
        <v>37</v>
      </c>
      <c r="Z39" s="12"/>
      <c r="AA39" s="11"/>
      <c r="AB39" s="10"/>
      <c r="AC39" s="12"/>
      <c r="AD39" s="11"/>
      <c r="AE39" s="2"/>
      <c r="AF39" s="2"/>
      <c r="AG39" s="2"/>
      <c r="AH39" s="2"/>
      <c r="AI39" s="2" t="s">
        <v>61</v>
      </c>
      <c r="AJ39" s="2" t="s">
        <v>398</v>
      </c>
      <c r="AK39" s="2" t="s">
        <v>399</v>
      </c>
    </row>
    <row r="40" spans="1:37" ht="15" customHeight="1">
      <c r="A40">
        <v>38</v>
      </c>
      <c r="B40" s="2" t="s">
        <v>400</v>
      </c>
      <c r="C40" s="2" t="s">
        <v>401</v>
      </c>
      <c r="D40" s="2" t="s">
        <v>110</v>
      </c>
      <c r="E40" s="2" t="s">
        <v>39</v>
      </c>
      <c r="F40" s="2" t="s">
        <v>41</v>
      </c>
      <c r="G40" s="3">
        <v>698.23</v>
      </c>
      <c r="H40" s="4"/>
      <c r="I40" s="5">
        <v>275</v>
      </c>
      <c r="J40" s="2" t="s">
        <v>91</v>
      </c>
      <c r="K40" s="2" t="s">
        <v>949</v>
      </c>
      <c r="L40" s="2" t="s">
        <v>44</v>
      </c>
      <c r="M40" s="2" t="s">
        <v>45</v>
      </c>
      <c r="N40" s="2" t="s">
        <v>404</v>
      </c>
      <c r="O40" s="2" t="s">
        <v>405</v>
      </c>
      <c r="P40" s="2" t="s">
        <v>204</v>
      </c>
      <c r="Q40" s="2"/>
      <c r="R40" s="2" t="s">
        <v>406</v>
      </c>
      <c r="S40" s="2" t="s">
        <v>402</v>
      </c>
      <c r="T40" s="2"/>
      <c r="U40" s="2" t="s">
        <v>54</v>
      </c>
      <c r="V40" s="10" t="s">
        <v>35</v>
      </c>
      <c r="W40" s="11"/>
      <c r="X40" s="2" t="s">
        <v>55</v>
      </c>
      <c r="Y40" s="10" t="s">
        <v>79</v>
      </c>
      <c r="Z40" s="12"/>
      <c r="AA40" s="11"/>
      <c r="AB40" s="10"/>
      <c r="AC40" s="12"/>
      <c r="AD40" s="11"/>
      <c r="AE40" s="2"/>
      <c r="AF40" s="2"/>
      <c r="AG40" s="2"/>
      <c r="AH40" s="2"/>
      <c r="AI40" s="2" t="s">
        <v>403</v>
      </c>
      <c r="AJ40" s="2" t="s">
        <v>407</v>
      </c>
      <c r="AK40" s="2" t="s">
        <v>50</v>
      </c>
    </row>
    <row r="41" spans="1:37" ht="15" customHeight="1">
      <c r="A41">
        <v>39</v>
      </c>
      <c r="B41" s="2" t="s">
        <v>408</v>
      </c>
      <c r="C41" s="2" t="s">
        <v>69</v>
      </c>
      <c r="D41" s="2" t="s">
        <v>38</v>
      </c>
      <c r="E41" s="2" t="s">
        <v>39</v>
      </c>
      <c r="F41" s="2" t="s">
        <v>41</v>
      </c>
      <c r="G41" s="3">
        <v>0</v>
      </c>
      <c r="H41" s="4"/>
      <c r="I41" s="5">
        <v>8000</v>
      </c>
      <c r="J41" s="2" t="s">
        <v>91</v>
      </c>
      <c r="K41" s="2" t="s">
        <v>952</v>
      </c>
      <c r="L41" s="2" t="s">
        <v>44</v>
      </c>
      <c r="M41" s="2" t="s">
        <v>45</v>
      </c>
      <c r="N41" s="2" t="s">
        <v>413</v>
      </c>
      <c r="O41" s="2" t="s">
        <v>93</v>
      </c>
      <c r="P41" s="2"/>
      <c r="Q41" s="2"/>
      <c r="R41" s="2"/>
      <c r="S41" s="2" t="s">
        <v>409</v>
      </c>
      <c r="T41" s="2"/>
      <c r="U41" s="2" t="s">
        <v>410</v>
      </c>
      <c r="V41" s="10" t="s">
        <v>35</v>
      </c>
      <c r="W41" s="11"/>
      <c r="X41" s="2"/>
      <c r="Y41" s="10" t="s">
        <v>37</v>
      </c>
      <c r="Z41" s="12"/>
      <c r="AA41" s="11"/>
      <c r="AB41" s="10" t="s">
        <v>411</v>
      </c>
      <c r="AC41" s="12"/>
      <c r="AD41" s="11"/>
      <c r="AE41" s="2"/>
      <c r="AF41" s="2"/>
      <c r="AG41" s="2" t="s">
        <v>412</v>
      </c>
      <c r="AH41" s="2"/>
      <c r="AI41" s="2" t="s">
        <v>61</v>
      </c>
      <c r="AJ41" s="2" t="s">
        <v>414</v>
      </c>
      <c r="AK41" s="2" t="s">
        <v>50</v>
      </c>
    </row>
    <row r="42" spans="1:37" ht="15" customHeight="1">
      <c r="A42">
        <v>40</v>
      </c>
      <c r="B42" s="2" t="s">
        <v>415</v>
      </c>
      <c r="C42" s="2" t="s">
        <v>69</v>
      </c>
      <c r="D42" s="2" t="s">
        <v>38</v>
      </c>
      <c r="E42" s="2" t="s">
        <v>39</v>
      </c>
      <c r="F42" s="2" t="s">
        <v>62</v>
      </c>
      <c r="G42" s="3">
        <v>0</v>
      </c>
      <c r="H42" s="4"/>
      <c r="I42" s="5">
        <v>3000</v>
      </c>
      <c r="J42" s="2" t="s">
        <v>80</v>
      </c>
      <c r="K42" s="2" t="s">
        <v>950</v>
      </c>
      <c r="L42" s="2" t="s">
        <v>44</v>
      </c>
      <c r="M42" s="2" t="s">
        <v>45</v>
      </c>
      <c r="N42" s="2" t="s">
        <v>421</v>
      </c>
      <c r="O42" s="2" t="s">
        <v>422</v>
      </c>
      <c r="P42" s="2"/>
      <c r="Q42" s="2" t="s">
        <v>423</v>
      </c>
      <c r="R42" s="2"/>
      <c r="S42" s="2" t="s">
        <v>416</v>
      </c>
      <c r="T42" s="2"/>
      <c r="U42" s="2" t="s">
        <v>86</v>
      </c>
      <c r="V42" s="10" t="s">
        <v>35</v>
      </c>
      <c r="W42" s="11"/>
      <c r="X42" s="2" t="s">
        <v>417</v>
      </c>
      <c r="Y42" s="10" t="s">
        <v>131</v>
      </c>
      <c r="Z42" s="12"/>
      <c r="AA42" s="11"/>
      <c r="AB42" s="10" t="s">
        <v>418</v>
      </c>
      <c r="AC42" s="12"/>
      <c r="AD42" s="11"/>
      <c r="AE42" s="2"/>
      <c r="AF42" s="2" t="s">
        <v>419</v>
      </c>
      <c r="AG42" s="2" t="s">
        <v>420</v>
      </c>
      <c r="AH42" s="2"/>
      <c r="AI42" s="2" t="s">
        <v>61</v>
      </c>
      <c r="AJ42" s="2" t="s">
        <v>424</v>
      </c>
      <c r="AK42" s="2"/>
    </row>
    <row r="43" spans="1:37" ht="15" customHeight="1">
      <c r="A43">
        <v>41</v>
      </c>
      <c r="B43" s="2" t="s">
        <v>425</v>
      </c>
      <c r="C43" s="2" t="s">
        <v>426</v>
      </c>
      <c r="D43" s="2" t="s">
        <v>38</v>
      </c>
      <c r="E43" s="2" t="s">
        <v>39</v>
      </c>
      <c r="F43" s="2" t="s">
        <v>41</v>
      </c>
      <c r="G43" s="3">
        <v>45</v>
      </c>
      <c r="H43" s="4"/>
      <c r="I43" s="5">
        <v>5</v>
      </c>
      <c r="J43" s="2" t="s">
        <v>80</v>
      </c>
      <c r="K43" s="2" t="s">
        <v>949</v>
      </c>
      <c r="L43" s="2" t="s">
        <v>44</v>
      </c>
      <c r="M43" s="2" t="s">
        <v>45</v>
      </c>
      <c r="N43" s="2" t="s">
        <v>433</v>
      </c>
      <c r="O43" s="2" t="s">
        <v>157</v>
      </c>
      <c r="P43" s="2" t="s">
        <v>432</v>
      </c>
      <c r="Q43" s="2" t="s">
        <v>434</v>
      </c>
      <c r="R43" s="2" t="s">
        <v>435</v>
      </c>
      <c r="S43" s="2" t="s">
        <v>427</v>
      </c>
      <c r="T43" s="2"/>
      <c r="U43" s="2" t="s">
        <v>151</v>
      </c>
      <c r="V43" s="10" t="s">
        <v>35</v>
      </c>
      <c r="W43" s="11"/>
      <c r="X43" s="2" t="s">
        <v>428</v>
      </c>
      <c r="Y43" s="10" t="s">
        <v>131</v>
      </c>
      <c r="Z43" s="12"/>
      <c r="AA43" s="11"/>
      <c r="AB43" s="10" t="s">
        <v>429</v>
      </c>
      <c r="AC43" s="12"/>
      <c r="AD43" s="11"/>
      <c r="AE43" s="2"/>
      <c r="AF43" s="2" t="s">
        <v>430</v>
      </c>
      <c r="AG43" s="2" t="s">
        <v>431</v>
      </c>
      <c r="AH43" s="2"/>
      <c r="AI43" s="2" t="s">
        <v>61</v>
      </c>
      <c r="AJ43" s="2" t="s">
        <v>436</v>
      </c>
      <c r="AK43" s="2" t="s">
        <v>50</v>
      </c>
    </row>
    <row r="44" spans="1:37" ht="15" customHeight="1">
      <c r="A44">
        <v>42</v>
      </c>
      <c r="B44" s="2" t="s">
        <v>437</v>
      </c>
      <c r="C44" s="2" t="s">
        <v>438</v>
      </c>
      <c r="D44" s="2" t="s">
        <v>110</v>
      </c>
      <c r="E44" s="2" t="s">
        <v>39</v>
      </c>
      <c r="F44" s="2" t="s">
        <v>346</v>
      </c>
      <c r="G44" s="3">
        <v>219.57</v>
      </c>
      <c r="H44" s="4"/>
      <c r="I44" s="5">
        <v>10</v>
      </c>
      <c r="J44" s="2" t="s">
        <v>80</v>
      </c>
      <c r="K44" s="2" t="s">
        <v>949</v>
      </c>
      <c r="L44" s="2" t="s">
        <v>44</v>
      </c>
      <c r="M44" s="2" t="s">
        <v>45</v>
      </c>
      <c r="N44" s="2" t="s">
        <v>441</v>
      </c>
      <c r="O44" s="2" t="s">
        <v>157</v>
      </c>
      <c r="P44" s="2" t="s">
        <v>43</v>
      </c>
      <c r="Q44" s="2"/>
      <c r="R44" s="2" t="s">
        <v>442</v>
      </c>
      <c r="S44" s="2" t="s">
        <v>439</v>
      </c>
      <c r="T44" s="2"/>
      <c r="U44" s="2" t="s">
        <v>130</v>
      </c>
      <c r="V44" s="10" t="s">
        <v>35</v>
      </c>
      <c r="W44" s="11"/>
      <c r="X44" s="2" t="s">
        <v>440</v>
      </c>
      <c r="Y44" s="10" t="s">
        <v>141</v>
      </c>
      <c r="Z44" s="12"/>
      <c r="AA44" s="11"/>
      <c r="AB44" s="10"/>
      <c r="AC44" s="12"/>
      <c r="AD44" s="11"/>
      <c r="AE44" s="2"/>
      <c r="AF44" s="2"/>
      <c r="AG44" s="2"/>
      <c r="AH44" s="2"/>
      <c r="AI44" s="2" t="s">
        <v>61</v>
      </c>
      <c r="AJ44" s="2" t="s">
        <v>443</v>
      </c>
      <c r="AK44" s="2" t="s">
        <v>50</v>
      </c>
    </row>
    <row r="45" spans="1:37" ht="15" customHeight="1">
      <c r="A45">
        <v>43</v>
      </c>
      <c r="B45" s="2" t="s">
        <v>444</v>
      </c>
      <c r="C45" s="2" t="s">
        <v>69</v>
      </c>
      <c r="D45" s="2"/>
      <c r="E45" s="2" t="s">
        <v>39</v>
      </c>
      <c r="F45" s="2" t="s">
        <v>62</v>
      </c>
      <c r="G45" s="4"/>
      <c r="H45" s="4"/>
      <c r="I45" s="5">
        <v>5000</v>
      </c>
      <c r="J45" s="2" t="s">
        <v>91</v>
      </c>
      <c r="K45" s="2" t="s">
        <v>950</v>
      </c>
      <c r="L45" s="2" t="s">
        <v>44</v>
      </c>
      <c r="M45" s="2" t="s">
        <v>45</v>
      </c>
      <c r="N45" s="2" t="s">
        <v>445</v>
      </c>
      <c r="O45" s="2" t="s">
        <v>72</v>
      </c>
      <c r="P45" s="2"/>
      <c r="Q45" s="2"/>
      <c r="R45" s="2"/>
      <c r="S45" s="2"/>
      <c r="T45" s="2"/>
      <c r="U45" s="2" t="s">
        <v>130</v>
      </c>
      <c r="V45" s="10" t="s">
        <v>35</v>
      </c>
      <c r="W45" s="11"/>
      <c r="X45" s="2"/>
      <c r="Y45" s="10" t="s">
        <v>79</v>
      </c>
      <c r="Z45" s="12"/>
      <c r="AA45" s="11"/>
      <c r="AB45" s="10"/>
      <c r="AC45" s="12"/>
      <c r="AD45" s="11"/>
      <c r="AE45" s="2"/>
      <c r="AF45" s="2"/>
      <c r="AG45" s="2"/>
      <c r="AH45" s="2"/>
      <c r="AI45" s="2" t="s">
        <v>61</v>
      </c>
      <c r="AJ45" s="2" t="s">
        <v>446</v>
      </c>
      <c r="AK45" s="2" t="s">
        <v>50</v>
      </c>
    </row>
    <row r="46" spans="1:37" ht="15" customHeight="1">
      <c r="A46">
        <v>44</v>
      </c>
      <c r="B46" s="2" t="s">
        <v>447</v>
      </c>
      <c r="C46" s="2" t="s">
        <v>69</v>
      </c>
      <c r="D46" s="2" t="s">
        <v>38</v>
      </c>
      <c r="E46" s="2" t="s">
        <v>39</v>
      </c>
      <c r="F46" s="2" t="s">
        <v>41</v>
      </c>
      <c r="G46" s="3">
        <v>0</v>
      </c>
      <c r="H46" s="4"/>
      <c r="I46" s="5">
        <v>2000</v>
      </c>
      <c r="J46" s="2" t="s">
        <v>91</v>
      </c>
      <c r="K46" s="2" t="s">
        <v>952</v>
      </c>
      <c r="L46" s="2" t="s">
        <v>44</v>
      </c>
      <c r="M46" s="2" t="s">
        <v>45</v>
      </c>
      <c r="N46" s="2" t="s">
        <v>452</v>
      </c>
      <c r="O46" s="2" t="s">
        <v>72</v>
      </c>
      <c r="P46" s="2"/>
      <c r="Q46" s="2"/>
      <c r="R46" s="2"/>
      <c r="S46" s="2" t="s">
        <v>448</v>
      </c>
      <c r="T46" s="2"/>
      <c r="U46" s="2" t="s">
        <v>449</v>
      </c>
      <c r="V46" s="10" t="s">
        <v>35</v>
      </c>
      <c r="W46" s="11"/>
      <c r="X46" s="2"/>
      <c r="Y46" s="10" t="s">
        <v>293</v>
      </c>
      <c r="Z46" s="12"/>
      <c r="AA46" s="11"/>
      <c r="AB46" s="10" t="s">
        <v>450</v>
      </c>
      <c r="AC46" s="12"/>
      <c r="AD46" s="11"/>
      <c r="AE46" s="2"/>
      <c r="AF46" s="2"/>
      <c r="AG46" s="2" t="s">
        <v>451</v>
      </c>
      <c r="AH46" s="2"/>
      <c r="AI46" s="2" t="s">
        <v>61</v>
      </c>
      <c r="AJ46" s="2" t="s">
        <v>453</v>
      </c>
      <c r="AK46" s="2" t="s">
        <v>50</v>
      </c>
    </row>
    <row r="47" spans="1:37" ht="15" customHeight="1">
      <c r="A47">
        <v>45</v>
      </c>
      <c r="B47" s="2" t="s">
        <v>454</v>
      </c>
      <c r="C47" s="2" t="s">
        <v>455</v>
      </c>
      <c r="D47" s="2" t="s">
        <v>110</v>
      </c>
      <c r="E47" s="2" t="s">
        <v>39</v>
      </c>
      <c r="F47" s="2" t="s">
        <v>41</v>
      </c>
      <c r="G47" s="3">
        <v>0</v>
      </c>
      <c r="H47" s="4"/>
      <c r="I47" s="5">
        <v>600</v>
      </c>
      <c r="J47" s="2" t="s">
        <v>91</v>
      </c>
      <c r="K47" s="2" t="s">
        <v>949</v>
      </c>
      <c r="L47" s="2" t="s">
        <v>44</v>
      </c>
      <c r="M47" s="2" t="s">
        <v>45</v>
      </c>
      <c r="N47" s="2" t="s">
        <v>462</v>
      </c>
      <c r="O47" s="2" t="s">
        <v>204</v>
      </c>
      <c r="P47" s="2" t="s">
        <v>232</v>
      </c>
      <c r="Q47" s="2"/>
      <c r="R47" s="2" t="s">
        <v>463</v>
      </c>
      <c r="S47" s="2" t="s">
        <v>456</v>
      </c>
      <c r="T47" s="2"/>
      <c r="U47" s="2" t="s">
        <v>457</v>
      </c>
      <c r="V47" s="10" t="s">
        <v>35</v>
      </c>
      <c r="W47" s="11"/>
      <c r="X47" s="2" t="s">
        <v>458</v>
      </c>
      <c r="Y47" s="10" t="s">
        <v>120</v>
      </c>
      <c r="Z47" s="12"/>
      <c r="AA47" s="11"/>
      <c r="AB47" s="10" t="s">
        <v>459</v>
      </c>
      <c r="AC47" s="12"/>
      <c r="AD47" s="11"/>
      <c r="AE47" s="2"/>
      <c r="AF47" s="2"/>
      <c r="AG47" s="2" t="s">
        <v>460</v>
      </c>
      <c r="AH47" s="2" t="s">
        <v>461</v>
      </c>
      <c r="AI47" s="2" t="s">
        <v>403</v>
      </c>
      <c r="AJ47" s="2" t="s">
        <v>464</v>
      </c>
      <c r="AK47" s="2" t="s">
        <v>50</v>
      </c>
    </row>
    <row r="48" spans="1:37" ht="15" customHeight="1">
      <c r="A48">
        <v>46</v>
      </c>
      <c r="B48" s="2" t="s">
        <v>465</v>
      </c>
      <c r="C48" s="2" t="s">
        <v>466</v>
      </c>
      <c r="D48" s="2"/>
      <c r="E48" s="2" t="s">
        <v>39</v>
      </c>
      <c r="F48" s="2" t="s">
        <v>62</v>
      </c>
      <c r="G48" s="4"/>
      <c r="H48" s="4"/>
      <c r="I48" s="5">
        <v>2000</v>
      </c>
      <c r="J48" s="2" t="s">
        <v>91</v>
      </c>
      <c r="K48" s="2" t="s">
        <v>952</v>
      </c>
      <c r="L48" s="2" t="s">
        <v>44</v>
      </c>
      <c r="M48" s="2" t="s">
        <v>45</v>
      </c>
      <c r="N48" s="2" t="s">
        <v>470</v>
      </c>
      <c r="O48" s="2" t="s">
        <v>471</v>
      </c>
      <c r="P48" s="2"/>
      <c r="Q48" s="2"/>
      <c r="R48" s="2"/>
      <c r="S48" s="2" t="s">
        <v>467</v>
      </c>
      <c r="T48" s="2"/>
      <c r="U48" s="2" t="s">
        <v>468</v>
      </c>
      <c r="V48" s="10" t="s">
        <v>35</v>
      </c>
      <c r="W48" s="11"/>
      <c r="X48" s="2" t="s">
        <v>469</v>
      </c>
      <c r="Y48" s="10" t="s">
        <v>79</v>
      </c>
      <c r="Z48" s="12"/>
      <c r="AA48" s="11"/>
      <c r="AB48" s="10"/>
      <c r="AC48" s="12"/>
      <c r="AD48" s="11"/>
      <c r="AE48" s="2"/>
      <c r="AF48" s="2"/>
      <c r="AG48" s="2"/>
      <c r="AH48" s="2"/>
      <c r="AI48" s="2" t="s">
        <v>61</v>
      </c>
      <c r="AJ48" s="2" t="s">
        <v>472</v>
      </c>
      <c r="AK48" s="2" t="s">
        <v>50</v>
      </c>
    </row>
    <row r="49" spans="1:37" ht="15" customHeight="1">
      <c r="A49">
        <v>47</v>
      </c>
      <c r="B49" s="2" t="s">
        <v>473</v>
      </c>
      <c r="C49" s="2" t="s">
        <v>474</v>
      </c>
      <c r="D49" s="2"/>
      <c r="E49" s="2" t="s">
        <v>39</v>
      </c>
      <c r="F49" s="2" t="s">
        <v>62</v>
      </c>
      <c r="G49" s="3">
        <v>0</v>
      </c>
      <c r="H49" s="4"/>
      <c r="I49" s="5">
        <v>2000</v>
      </c>
      <c r="J49" s="2" t="s">
        <v>80</v>
      </c>
      <c r="K49" s="2" t="s">
        <v>949</v>
      </c>
      <c r="L49" s="2" t="s">
        <v>44</v>
      </c>
      <c r="M49" s="2" t="s">
        <v>45</v>
      </c>
      <c r="N49" s="2" t="s">
        <v>477</v>
      </c>
      <c r="O49" s="2" t="s">
        <v>157</v>
      </c>
      <c r="P49" s="2" t="s">
        <v>476</v>
      </c>
      <c r="Q49" s="2" t="s">
        <v>478</v>
      </c>
      <c r="R49" s="2"/>
      <c r="S49" s="2" t="s">
        <v>475</v>
      </c>
      <c r="T49" s="2"/>
      <c r="U49" s="2" t="s">
        <v>86</v>
      </c>
      <c r="V49" s="10" t="s">
        <v>35</v>
      </c>
      <c r="W49" s="11"/>
      <c r="X49" s="2" t="s">
        <v>417</v>
      </c>
      <c r="Y49" s="10" t="s">
        <v>141</v>
      </c>
      <c r="Z49" s="12"/>
      <c r="AA49" s="11"/>
      <c r="AB49" s="10"/>
      <c r="AC49" s="12"/>
      <c r="AD49" s="11"/>
      <c r="AE49" s="2"/>
      <c r="AF49" s="2"/>
      <c r="AG49" s="2"/>
      <c r="AH49" s="2"/>
      <c r="AI49" s="2" t="s">
        <v>61</v>
      </c>
      <c r="AJ49" s="2" t="s">
        <v>479</v>
      </c>
      <c r="AK49" s="2" t="s">
        <v>50</v>
      </c>
    </row>
    <row r="50" spans="1:37" ht="15" customHeight="1">
      <c r="A50">
        <v>48</v>
      </c>
      <c r="B50" s="2" t="s">
        <v>480</v>
      </c>
      <c r="C50" s="2" t="s">
        <v>481</v>
      </c>
      <c r="D50" s="2" t="s">
        <v>110</v>
      </c>
      <c r="E50" s="2" t="s">
        <v>39</v>
      </c>
      <c r="F50" s="2" t="s">
        <v>62</v>
      </c>
      <c r="G50" s="3">
        <v>1055</v>
      </c>
      <c r="H50" s="4"/>
      <c r="I50" s="5">
        <v>120</v>
      </c>
      <c r="J50" s="2" t="s">
        <v>91</v>
      </c>
      <c r="K50" s="2" t="s">
        <v>949</v>
      </c>
      <c r="L50" s="2" t="s">
        <v>44</v>
      </c>
      <c r="M50" s="2" t="s">
        <v>45</v>
      </c>
      <c r="N50" s="2" t="s">
        <v>483</v>
      </c>
      <c r="O50" s="2" t="s">
        <v>484</v>
      </c>
      <c r="P50" s="2" t="s">
        <v>204</v>
      </c>
      <c r="Q50" s="2"/>
      <c r="R50" s="2" t="s">
        <v>485</v>
      </c>
      <c r="S50" s="2" t="s">
        <v>482</v>
      </c>
      <c r="T50" s="2"/>
      <c r="U50" s="2" t="s">
        <v>264</v>
      </c>
      <c r="V50" s="10" t="s">
        <v>35</v>
      </c>
      <c r="W50" s="11"/>
      <c r="X50" s="2" t="s">
        <v>265</v>
      </c>
      <c r="Y50" s="10" t="s">
        <v>334</v>
      </c>
      <c r="Z50" s="12"/>
      <c r="AA50" s="11"/>
      <c r="AB50" s="10"/>
      <c r="AC50" s="12"/>
      <c r="AD50" s="11"/>
      <c r="AE50" s="2"/>
      <c r="AF50" s="2"/>
      <c r="AG50" s="2"/>
      <c r="AH50" s="2"/>
      <c r="AI50" s="2" t="s">
        <v>61</v>
      </c>
      <c r="AJ50" s="2" t="s">
        <v>486</v>
      </c>
      <c r="AK50" s="2" t="s">
        <v>50</v>
      </c>
    </row>
    <row r="51" spans="1:37" ht="15" customHeight="1">
      <c r="A51">
        <v>49</v>
      </c>
      <c r="B51" s="2" t="s">
        <v>487</v>
      </c>
      <c r="C51" s="2" t="s">
        <v>488</v>
      </c>
      <c r="D51" s="2" t="s">
        <v>38</v>
      </c>
      <c r="E51" s="2" t="s">
        <v>39</v>
      </c>
      <c r="F51" s="2" t="s">
        <v>41</v>
      </c>
      <c r="G51" s="3">
        <v>0</v>
      </c>
      <c r="H51" s="4"/>
      <c r="I51" s="4"/>
      <c r="J51" s="2" t="s">
        <v>91</v>
      </c>
      <c r="K51" s="2" t="s">
        <v>949</v>
      </c>
      <c r="L51" s="2" t="s">
        <v>44</v>
      </c>
      <c r="M51" s="2" t="s">
        <v>45</v>
      </c>
      <c r="N51" s="2" t="s">
        <v>491</v>
      </c>
      <c r="O51" s="2" t="s">
        <v>93</v>
      </c>
      <c r="P51" s="2" t="s">
        <v>232</v>
      </c>
      <c r="Q51" s="2"/>
      <c r="R51" s="2" t="s">
        <v>492</v>
      </c>
      <c r="S51" s="2" t="s">
        <v>489</v>
      </c>
      <c r="T51" s="2"/>
      <c r="U51" s="2" t="s">
        <v>264</v>
      </c>
      <c r="V51" s="10" t="s">
        <v>35</v>
      </c>
      <c r="W51" s="11"/>
      <c r="X51" s="2" t="s">
        <v>265</v>
      </c>
      <c r="Y51" s="10" t="s">
        <v>79</v>
      </c>
      <c r="Z51" s="12"/>
      <c r="AA51" s="11"/>
      <c r="AB51" s="10"/>
      <c r="AC51" s="12"/>
      <c r="AD51" s="11"/>
      <c r="AE51" s="2"/>
      <c r="AF51" s="2"/>
      <c r="AG51" s="2"/>
      <c r="AH51" s="2"/>
      <c r="AI51" s="2" t="s">
        <v>490</v>
      </c>
      <c r="AJ51" s="2" t="s">
        <v>493</v>
      </c>
      <c r="AK51" s="2" t="s">
        <v>50</v>
      </c>
    </row>
    <row r="52" spans="1:37" ht="15" customHeight="1">
      <c r="A52">
        <v>50</v>
      </c>
      <c r="B52" s="2" t="s">
        <v>494</v>
      </c>
      <c r="C52" s="2" t="s">
        <v>495</v>
      </c>
      <c r="D52" s="2" t="s">
        <v>38</v>
      </c>
      <c r="E52" s="2" t="s">
        <v>39</v>
      </c>
      <c r="F52" s="2" t="s">
        <v>62</v>
      </c>
      <c r="G52" s="4"/>
      <c r="H52" s="4"/>
      <c r="I52" s="5">
        <v>3500</v>
      </c>
      <c r="J52" s="2" t="s">
        <v>91</v>
      </c>
      <c r="K52" s="2" t="s">
        <v>950</v>
      </c>
      <c r="L52" s="2" t="s">
        <v>44</v>
      </c>
      <c r="M52" s="2" t="s">
        <v>45</v>
      </c>
      <c r="N52" s="2" t="s">
        <v>497</v>
      </c>
      <c r="O52" s="2" t="s">
        <v>319</v>
      </c>
      <c r="P52" s="2"/>
      <c r="Q52" s="2"/>
      <c r="R52" s="2"/>
      <c r="S52" s="2" t="s">
        <v>496</v>
      </c>
      <c r="T52" s="2"/>
      <c r="U52" s="2" t="s">
        <v>316</v>
      </c>
      <c r="V52" s="10" t="s">
        <v>35</v>
      </c>
      <c r="W52" s="11"/>
      <c r="X52" s="2" t="s">
        <v>317</v>
      </c>
      <c r="Y52" s="10" t="s">
        <v>37</v>
      </c>
      <c r="Z52" s="12"/>
      <c r="AA52" s="11"/>
      <c r="AB52" s="10"/>
      <c r="AC52" s="12"/>
      <c r="AD52" s="11"/>
      <c r="AE52" s="2"/>
      <c r="AF52" s="2"/>
      <c r="AG52" s="2"/>
      <c r="AH52" s="2"/>
      <c r="AI52" s="2" t="s">
        <v>61</v>
      </c>
      <c r="AJ52" s="2" t="s">
        <v>498</v>
      </c>
      <c r="AK52" s="2" t="s">
        <v>50</v>
      </c>
    </row>
    <row r="53" spans="1:37" ht="15" customHeight="1">
      <c r="A53">
        <v>51</v>
      </c>
      <c r="B53" s="2" t="s">
        <v>499</v>
      </c>
      <c r="C53" s="2" t="s">
        <v>500</v>
      </c>
      <c r="D53" s="2" t="s">
        <v>38</v>
      </c>
      <c r="E53" s="2" t="s">
        <v>39</v>
      </c>
      <c r="F53" s="2" t="s">
        <v>41</v>
      </c>
      <c r="G53" s="3">
        <v>701.7</v>
      </c>
      <c r="H53" s="4"/>
      <c r="I53" s="5">
        <v>300</v>
      </c>
      <c r="J53" s="2" t="s">
        <v>91</v>
      </c>
      <c r="K53" s="2" t="s">
        <v>949</v>
      </c>
      <c r="L53" s="2" t="s">
        <v>44</v>
      </c>
      <c r="M53" s="2" t="s">
        <v>45</v>
      </c>
      <c r="N53" s="2" t="s">
        <v>502</v>
      </c>
      <c r="O53" s="2" t="s">
        <v>503</v>
      </c>
      <c r="P53" s="2" t="s">
        <v>232</v>
      </c>
      <c r="Q53" s="2"/>
      <c r="R53" s="2" t="s">
        <v>504</v>
      </c>
      <c r="S53" s="2" t="s">
        <v>501</v>
      </c>
      <c r="T53" s="2"/>
      <c r="U53" s="2" t="s">
        <v>198</v>
      </c>
      <c r="V53" s="10" t="s">
        <v>35</v>
      </c>
      <c r="W53" s="11"/>
      <c r="X53" s="2" t="s">
        <v>199</v>
      </c>
      <c r="Y53" s="10" t="s">
        <v>120</v>
      </c>
      <c r="Z53" s="12"/>
      <c r="AA53" s="11"/>
      <c r="AB53" s="10"/>
      <c r="AC53" s="12"/>
      <c r="AD53" s="11"/>
      <c r="AE53" s="2"/>
      <c r="AF53" s="2"/>
      <c r="AG53" s="2"/>
      <c r="AH53" s="2"/>
      <c r="AI53" s="2" t="s">
        <v>403</v>
      </c>
      <c r="AJ53" s="2" t="s">
        <v>505</v>
      </c>
      <c r="AK53" s="2" t="s">
        <v>50</v>
      </c>
    </row>
    <row r="54" spans="1:37" ht="15" customHeight="1">
      <c r="A54">
        <v>52</v>
      </c>
      <c r="B54" s="2" t="s">
        <v>506</v>
      </c>
      <c r="C54" s="2" t="s">
        <v>69</v>
      </c>
      <c r="D54" s="2" t="s">
        <v>38</v>
      </c>
      <c r="E54" s="2" t="s">
        <v>39</v>
      </c>
      <c r="F54" s="2" t="s">
        <v>41</v>
      </c>
      <c r="G54" s="3">
        <v>0</v>
      </c>
      <c r="H54" s="4"/>
      <c r="I54" s="5">
        <v>2000</v>
      </c>
      <c r="J54" s="2" t="s">
        <v>91</v>
      </c>
      <c r="K54" s="2" t="s">
        <v>951</v>
      </c>
      <c r="L54" s="2" t="s">
        <v>44</v>
      </c>
      <c r="M54" s="2" t="s">
        <v>45</v>
      </c>
      <c r="N54" s="2" t="s">
        <v>511</v>
      </c>
      <c r="O54" s="2" t="s">
        <v>93</v>
      </c>
      <c r="P54" s="2"/>
      <c r="Q54" s="2"/>
      <c r="R54" s="2" t="s">
        <v>512</v>
      </c>
      <c r="S54" s="2" t="s">
        <v>507</v>
      </c>
      <c r="T54" s="2"/>
      <c r="U54" s="2" t="s">
        <v>508</v>
      </c>
      <c r="V54" s="10" t="s">
        <v>35</v>
      </c>
      <c r="W54" s="11"/>
      <c r="X54" s="2" t="s">
        <v>509</v>
      </c>
      <c r="Y54" s="10" t="s">
        <v>37</v>
      </c>
      <c r="Z54" s="12"/>
      <c r="AA54" s="11"/>
      <c r="AB54" s="10" t="s">
        <v>298</v>
      </c>
      <c r="AC54" s="12"/>
      <c r="AD54" s="11"/>
      <c r="AE54" s="2"/>
      <c r="AF54" s="2"/>
      <c r="AG54" s="2" t="s">
        <v>510</v>
      </c>
      <c r="AH54" s="2"/>
      <c r="AI54" s="2" t="s">
        <v>61</v>
      </c>
      <c r="AJ54" s="2" t="s">
        <v>513</v>
      </c>
      <c r="AK54" s="2" t="s">
        <v>50</v>
      </c>
    </row>
    <row r="55" spans="1:37" ht="15" customHeight="1">
      <c r="A55">
        <v>53</v>
      </c>
      <c r="B55" s="2" t="s">
        <v>514</v>
      </c>
      <c r="C55" s="2" t="s">
        <v>69</v>
      </c>
      <c r="D55" s="2" t="s">
        <v>38</v>
      </c>
      <c r="E55" s="2" t="s">
        <v>39</v>
      </c>
      <c r="F55" s="2" t="s">
        <v>62</v>
      </c>
      <c r="G55" s="3">
        <v>0</v>
      </c>
      <c r="H55" s="4"/>
      <c r="I55" s="5">
        <v>4000</v>
      </c>
      <c r="J55" s="2" t="s">
        <v>91</v>
      </c>
      <c r="K55" s="2" t="s">
        <v>952</v>
      </c>
      <c r="L55" s="2" t="s">
        <v>44</v>
      </c>
      <c r="M55" s="2" t="s">
        <v>45</v>
      </c>
      <c r="N55" s="2" t="s">
        <v>521</v>
      </c>
      <c r="O55" s="2" t="s">
        <v>471</v>
      </c>
      <c r="P55" s="2"/>
      <c r="Q55" s="2"/>
      <c r="R55" s="2"/>
      <c r="S55" s="2" t="s">
        <v>515</v>
      </c>
      <c r="T55" s="2"/>
      <c r="U55" s="2" t="s">
        <v>516</v>
      </c>
      <c r="V55" s="10" t="s">
        <v>35</v>
      </c>
      <c r="W55" s="11"/>
      <c r="X55" s="2" t="s">
        <v>517</v>
      </c>
      <c r="Y55" s="10" t="s">
        <v>131</v>
      </c>
      <c r="Z55" s="12"/>
      <c r="AA55" s="11"/>
      <c r="AB55" s="10" t="s">
        <v>518</v>
      </c>
      <c r="AC55" s="12"/>
      <c r="AD55" s="11"/>
      <c r="AE55" s="2"/>
      <c r="AF55" s="2" t="s">
        <v>519</v>
      </c>
      <c r="AG55" s="2" t="s">
        <v>520</v>
      </c>
      <c r="AH55" s="2"/>
      <c r="AI55" s="2" t="s">
        <v>61</v>
      </c>
      <c r="AJ55" s="2" t="s">
        <v>522</v>
      </c>
      <c r="AK55" s="2" t="s">
        <v>50</v>
      </c>
    </row>
    <row r="56" spans="1:37" ht="15" customHeight="1">
      <c r="A56">
        <v>54</v>
      </c>
      <c r="B56" s="2" t="s">
        <v>523</v>
      </c>
      <c r="C56" s="2" t="s">
        <v>69</v>
      </c>
      <c r="D56" s="2" t="s">
        <v>38</v>
      </c>
      <c r="E56" s="2" t="s">
        <v>39</v>
      </c>
      <c r="F56" s="2" t="s">
        <v>41</v>
      </c>
      <c r="G56" s="4"/>
      <c r="H56" s="4"/>
      <c r="I56" s="4"/>
      <c r="J56" s="2" t="s">
        <v>91</v>
      </c>
      <c r="K56" s="2" t="s">
        <v>949</v>
      </c>
      <c r="L56" s="2" t="s">
        <v>44</v>
      </c>
      <c r="M56" s="2" t="s">
        <v>45</v>
      </c>
      <c r="N56" s="2" t="s">
        <v>530</v>
      </c>
      <c r="O56" s="2" t="s">
        <v>531</v>
      </c>
      <c r="P56" s="2"/>
      <c r="Q56" s="2"/>
      <c r="R56" s="2" t="s">
        <v>532</v>
      </c>
      <c r="S56" s="2" t="s">
        <v>524</v>
      </c>
      <c r="T56" s="2"/>
      <c r="U56" s="2" t="s">
        <v>525</v>
      </c>
      <c r="V56" s="10" t="s">
        <v>35</v>
      </c>
      <c r="W56" s="11"/>
      <c r="X56" s="2" t="s">
        <v>526</v>
      </c>
      <c r="Y56" s="10" t="s">
        <v>37</v>
      </c>
      <c r="Z56" s="12"/>
      <c r="AA56" s="11"/>
      <c r="AB56" s="10" t="s">
        <v>527</v>
      </c>
      <c r="AC56" s="12"/>
      <c r="AD56" s="11"/>
      <c r="AE56" s="2"/>
      <c r="AF56" s="2" t="s">
        <v>528</v>
      </c>
      <c r="AG56" s="2" t="s">
        <v>529</v>
      </c>
      <c r="AH56" s="2"/>
      <c r="AI56" s="2" t="s">
        <v>403</v>
      </c>
      <c r="AJ56" s="2" t="s">
        <v>533</v>
      </c>
      <c r="AK56" s="2" t="s">
        <v>50</v>
      </c>
    </row>
    <row r="57" spans="1:37" ht="15" customHeight="1">
      <c r="A57">
        <v>55</v>
      </c>
      <c r="B57" s="2" t="s">
        <v>534</v>
      </c>
      <c r="C57" s="2" t="s">
        <v>69</v>
      </c>
      <c r="D57" s="2" t="s">
        <v>38</v>
      </c>
      <c r="E57" s="2" t="s">
        <v>39</v>
      </c>
      <c r="F57" s="2" t="s">
        <v>62</v>
      </c>
      <c r="G57" s="3">
        <v>56000</v>
      </c>
      <c r="H57" s="4"/>
      <c r="I57" s="5">
        <v>5955</v>
      </c>
      <c r="J57" s="2" t="s">
        <v>42</v>
      </c>
      <c r="K57" s="2" t="s">
        <v>949</v>
      </c>
      <c r="L57" s="2" t="s">
        <v>44</v>
      </c>
      <c r="M57" s="2" t="s">
        <v>45</v>
      </c>
      <c r="N57" s="2" t="s">
        <v>539</v>
      </c>
      <c r="O57" s="2" t="s">
        <v>157</v>
      </c>
      <c r="P57" s="2" t="s">
        <v>232</v>
      </c>
      <c r="Q57" s="2"/>
      <c r="R57" s="2" t="s">
        <v>540</v>
      </c>
      <c r="S57" s="2" t="s">
        <v>535</v>
      </c>
      <c r="T57" s="2"/>
      <c r="U57" s="2" t="s">
        <v>536</v>
      </c>
      <c r="V57" s="10" t="s">
        <v>35</v>
      </c>
      <c r="W57" s="11"/>
      <c r="X57" s="2"/>
      <c r="Y57" s="10" t="s">
        <v>131</v>
      </c>
      <c r="Z57" s="12"/>
      <c r="AA57" s="11"/>
      <c r="AB57" s="10" t="s">
        <v>537</v>
      </c>
      <c r="AC57" s="12"/>
      <c r="AD57" s="11"/>
      <c r="AE57" s="2"/>
      <c r="AF57" s="2"/>
      <c r="AG57" s="2" t="s">
        <v>538</v>
      </c>
      <c r="AH57" s="2"/>
      <c r="AI57" s="2" t="s">
        <v>61</v>
      </c>
      <c r="AJ57" s="2" t="s">
        <v>541</v>
      </c>
      <c r="AK57" s="2" t="s">
        <v>50</v>
      </c>
    </row>
    <row r="58" spans="1:37" ht="15" customHeight="1">
      <c r="A58">
        <v>56</v>
      </c>
      <c r="B58" s="2" t="s">
        <v>542</v>
      </c>
      <c r="C58" s="2" t="s">
        <v>69</v>
      </c>
      <c r="D58" s="2" t="s">
        <v>38</v>
      </c>
      <c r="E58" s="2" t="s">
        <v>39</v>
      </c>
      <c r="F58" s="2" t="s">
        <v>62</v>
      </c>
      <c r="G58" s="3">
        <v>0</v>
      </c>
      <c r="H58" s="4"/>
      <c r="I58" s="5">
        <v>7500</v>
      </c>
      <c r="J58" s="2" t="s">
        <v>91</v>
      </c>
      <c r="K58" s="2" t="s">
        <v>951</v>
      </c>
      <c r="L58" s="2" t="s">
        <v>44</v>
      </c>
      <c r="M58" s="2" t="s">
        <v>45</v>
      </c>
      <c r="N58" s="2" t="s">
        <v>546</v>
      </c>
      <c r="O58" s="2" t="s">
        <v>157</v>
      </c>
      <c r="P58" s="2"/>
      <c r="Q58" s="2"/>
      <c r="R58" s="2"/>
      <c r="S58" s="2" t="s">
        <v>543</v>
      </c>
      <c r="T58" s="2"/>
      <c r="U58" s="2" t="s">
        <v>544</v>
      </c>
      <c r="V58" s="10" t="s">
        <v>35</v>
      </c>
      <c r="W58" s="11"/>
      <c r="X58" s="2" t="s">
        <v>545</v>
      </c>
      <c r="Y58" s="10" t="s">
        <v>37</v>
      </c>
      <c r="Z58" s="12"/>
      <c r="AA58" s="11"/>
      <c r="AB58" s="10"/>
      <c r="AC58" s="12"/>
      <c r="AD58" s="11"/>
      <c r="AE58" s="2"/>
      <c r="AF58" s="2"/>
      <c r="AG58" s="2"/>
      <c r="AH58" s="2"/>
      <c r="AI58" s="2" t="s">
        <v>61</v>
      </c>
      <c r="AJ58" s="2" t="s">
        <v>547</v>
      </c>
      <c r="AK58" s="2" t="s">
        <v>50</v>
      </c>
    </row>
    <row r="59" spans="1:37" ht="15" customHeight="1">
      <c r="A59">
        <v>57</v>
      </c>
      <c r="B59" s="2" t="s">
        <v>548</v>
      </c>
      <c r="C59" s="2" t="s">
        <v>549</v>
      </c>
      <c r="D59" s="2" t="s">
        <v>110</v>
      </c>
      <c r="E59" s="2" t="s">
        <v>39</v>
      </c>
      <c r="F59" s="2" t="s">
        <v>41</v>
      </c>
      <c r="G59" s="3">
        <v>0</v>
      </c>
      <c r="H59" s="4"/>
      <c r="I59" s="5">
        <v>20</v>
      </c>
      <c r="J59" s="2" t="s">
        <v>80</v>
      </c>
      <c r="K59" s="2" t="s">
        <v>949</v>
      </c>
      <c r="L59" s="2" t="s">
        <v>44</v>
      </c>
      <c r="M59" s="2" t="s">
        <v>45</v>
      </c>
      <c r="N59" s="2" t="s">
        <v>558</v>
      </c>
      <c r="O59" s="2" t="s">
        <v>559</v>
      </c>
      <c r="P59" s="2" t="s">
        <v>557</v>
      </c>
      <c r="Q59" s="2"/>
      <c r="R59" s="2" t="s">
        <v>560</v>
      </c>
      <c r="S59" s="2" t="s">
        <v>550</v>
      </c>
      <c r="T59" s="2" t="s">
        <v>551</v>
      </c>
      <c r="U59" s="2" t="s">
        <v>552</v>
      </c>
      <c r="V59" s="10" t="s">
        <v>35</v>
      </c>
      <c r="W59" s="11"/>
      <c r="X59" s="2" t="s">
        <v>553</v>
      </c>
      <c r="Y59" s="10" t="s">
        <v>79</v>
      </c>
      <c r="Z59" s="12"/>
      <c r="AA59" s="11"/>
      <c r="AB59" s="10" t="s">
        <v>554</v>
      </c>
      <c r="AC59" s="12"/>
      <c r="AD59" s="11"/>
      <c r="AE59" s="2"/>
      <c r="AF59" s="2" t="s">
        <v>555</v>
      </c>
      <c r="AG59" s="2" t="s">
        <v>556</v>
      </c>
      <c r="AH59" s="2"/>
      <c r="AI59" s="2" t="s">
        <v>40</v>
      </c>
      <c r="AJ59" s="2" t="s">
        <v>561</v>
      </c>
      <c r="AK59" s="2" t="s">
        <v>50</v>
      </c>
    </row>
    <row r="60" spans="1:37" ht="15" customHeight="1">
      <c r="A60">
        <v>58</v>
      </c>
      <c r="B60" s="2" t="s">
        <v>562</v>
      </c>
      <c r="C60" s="2" t="s">
        <v>69</v>
      </c>
      <c r="D60" s="2" t="s">
        <v>38</v>
      </c>
      <c r="E60" s="2" t="s">
        <v>39</v>
      </c>
      <c r="F60" s="2" t="s">
        <v>41</v>
      </c>
      <c r="G60" s="3">
        <v>0</v>
      </c>
      <c r="H60" s="4"/>
      <c r="I60" s="5">
        <v>1500</v>
      </c>
      <c r="J60" s="2" t="s">
        <v>91</v>
      </c>
      <c r="K60" s="2" t="s">
        <v>952</v>
      </c>
      <c r="L60" s="2" t="s">
        <v>44</v>
      </c>
      <c r="M60" s="2" t="s">
        <v>45</v>
      </c>
      <c r="N60" s="2" t="s">
        <v>567</v>
      </c>
      <c r="O60" s="2" t="s">
        <v>157</v>
      </c>
      <c r="P60" s="2"/>
      <c r="Q60" s="2"/>
      <c r="R60" s="2" t="s">
        <v>568</v>
      </c>
      <c r="S60" s="2" t="s">
        <v>563</v>
      </c>
      <c r="T60" s="2"/>
      <c r="U60" s="2" t="s">
        <v>564</v>
      </c>
      <c r="V60" s="10" t="s">
        <v>35</v>
      </c>
      <c r="W60" s="11"/>
      <c r="X60" s="2"/>
      <c r="Y60" s="10" t="s">
        <v>79</v>
      </c>
      <c r="Z60" s="12"/>
      <c r="AA60" s="11"/>
      <c r="AB60" s="10" t="s">
        <v>565</v>
      </c>
      <c r="AC60" s="12"/>
      <c r="AD60" s="11"/>
      <c r="AE60" s="2"/>
      <c r="AF60" s="2"/>
      <c r="AG60" s="2" t="s">
        <v>566</v>
      </c>
      <c r="AH60" s="2"/>
      <c r="AI60" s="2" t="s">
        <v>61</v>
      </c>
      <c r="AJ60" s="2" t="s">
        <v>569</v>
      </c>
      <c r="AK60" s="2" t="s">
        <v>50</v>
      </c>
    </row>
    <row r="61" spans="1:37" ht="15" customHeight="1">
      <c r="A61">
        <v>59</v>
      </c>
      <c r="B61" s="2" t="s">
        <v>570</v>
      </c>
      <c r="C61" s="2" t="s">
        <v>69</v>
      </c>
      <c r="D61" s="2" t="s">
        <v>110</v>
      </c>
      <c r="E61" s="2" t="s">
        <v>39</v>
      </c>
      <c r="F61" s="2" t="s">
        <v>241</v>
      </c>
      <c r="G61" s="3">
        <v>67500</v>
      </c>
      <c r="H61" s="3">
        <v>900</v>
      </c>
      <c r="I61" s="5">
        <v>3000</v>
      </c>
      <c r="J61" s="2" t="s">
        <v>42</v>
      </c>
      <c r="K61" s="2" t="s">
        <v>952</v>
      </c>
      <c r="L61" s="2" t="s">
        <v>44</v>
      </c>
      <c r="M61" s="2" t="s">
        <v>45</v>
      </c>
      <c r="N61" s="2" t="s">
        <v>574</v>
      </c>
      <c r="O61" s="2" t="s">
        <v>471</v>
      </c>
      <c r="P61" s="2"/>
      <c r="Q61" s="2" t="s">
        <v>575</v>
      </c>
      <c r="R61" s="2" t="s">
        <v>576</v>
      </c>
      <c r="S61" s="2"/>
      <c r="T61" s="2"/>
      <c r="U61" s="2" t="s">
        <v>571</v>
      </c>
      <c r="V61" s="10" t="s">
        <v>35</v>
      </c>
      <c r="W61" s="11"/>
      <c r="X61" s="2"/>
      <c r="Y61" s="10" t="s">
        <v>79</v>
      </c>
      <c r="Z61" s="12"/>
      <c r="AA61" s="11"/>
      <c r="AB61" s="10" t="s">
        <v>572</v>
      </c>
      <c r="AC61" s="12"/>
      <c r="AD61" s="11"/>
      <c r="AE61" s="2"/>
      <c r="AF61" s="2"/>
      <c r="AG61" s="2" t="s">
        <v>573</v>
      </c>
      <c r="AH61" s="2"/>
      <c r="AI61" s="2" t="s">
        <v>61</v>
      </c>
      <c r="AJ61" s="2" t="s">
        <v>577</v>
      </c>
      <c r="AK61" s="2"/>
    </row>
    <row r="62" spans="1:37" ht="15" customHeight="1">
      <c r="A62">
        <v>60</v>
      </c>
      <c r="B62" s="2" t="s">
        <v>578</v>
      </c>
      <c r="C62" s="2" t="s">
        <v>69</v>
      </c>
      <c r="D62" s="2" t="s">
        <v>38</v>
      </c>
      <c r="E62" s="2" t="s">
        <v>39</v>
      </c>
      <c r="F62" s="2" t="s">
        <v>41</v>
      </c>
      <c r="G62" s="3">
        <v>0</v>
      </c>
      <c r="H62" s="4"/>
      <c r="I62" s="5">
        <v>8000</v>
      </c>
      <c r="J62" s="2" t="s">
        <v>91</v>
      </c>
      <c r="K62" s="2" t="s">
        <v>951</v>
      </c>
      <c r="L62" s="2" t="s">
        <v>44</v>
      </c>
      <c r="M62" s="2" t="s">
        <v>45</v>
      </c>
      <c r="N62" s="2" t="s">
        <v>582</v>
      </c>
      <c r="O62" s="2" t="s">
        <v>471</v>
      </c>
      <c r="P62" s="2"/>
      <c r="Q62" s="2"/>
      <c r="R62" s="2"/>
      <c r="S62" s="2" t="s">
        <v>579</v>
      </c>
      <c r="T62" s="2"/>
      <c r="U62" s="2" t="s">
        <v>580</v>
      </c>
      <c r="V62" s="10" t="s">
        <v>273</v>
      </c>
      <c r="W62" s="11"/>
      <c r="X62" s="2" t="s">
        <v>581</v>
      </c>
      <c r="Y62" s="10" t="s">
        <v>141</v>
      </c>
      <c r="Z62" s="12"/>
      <c r="AA62" s="11"/>
      <c r="AB62" s="10"/>
      <c r="AC62" s="12"/>
      <c r="AD62" s="11"/>
      <c r="AE62" s="2"/>
      <c r="AF62" s="2"/>
      <c r="AG62" s="2"/>
      <c r="AH62" s="2"/>
      <c r="AI62" s="2" t="s">
        <v>403</v>
      </c>
      <c r="AJ62" s="2" t="s">
        <v>583</v>
      </c>
      <c r="AK62" s="2" t="s">
        <v>50</v>
      </c>
    </row>
    <row r="63" spans="1:37" ht="15" customHeight="1">
      <c r="A63">
        <v>61</v>
      </c>
      <c r="B63" s="2" t="s">
        <v>584</v>
      </c>
      <c r="C63" s="2" t="s">
        <v>585</v>
      </c>
      <c r="D63" s="2" t="s">
        <v>38</v>
      </c>
      <c r="E63" s="2" t="s">
        <v>39</v>
      </c>
      <c r="F63" s="2" t="s">
        <v>62</v>
      </c>
      <c r="G63" s="3">
        <v>2642.16</v>
      </c>
      <c r="H63" s="4"/>
      <c r="I63" s="5">
        <v>161</v>
      </c>
      <c r="J63" s="2" t="s">
        <v>80</v>
      </c>
      <c r="K63" s="2" t="s">
        <v>949</v>
      </c>
      <c r="L63" s="2" t="s">
        <v>44</v>
      </c>
      <c r="M63" s="2" t="s">
        <v>45</v>
      </c>
      <c r="N63" s="2" t="s">
        <v>592</v>
      </c>
      <c r="O63" s="2" t="s">
        <v>157</v>
      </c>
      <c r="P63" s="2" t="s">
        <v>63</v>
      </c>
      <c r="Q63" s="2"/>
      <c r="R63" s="2" t="s">
        <v>593</v>
      </c>
      <c r="S63" s="2" t="s">
        <v>586</v>
      </c>
      <c r="T63" s="2"/>
      <c r="U63" s="2" t="s">
        <v>587</v>
      </c>
      <c r="V63" s="10" t="s">
        <v>35</v>
      </c>
      <c r="W63" s="11"/>
      <c r="X63" s="2" t="s">
        <v>588</v>
      </c>
      <c r="Y63" s="10" t="s">
        <v>120</v>
      </c>
      <c r="Z63" s="12"/>
      <c r="AA63" s="11"/>
      <c r="AB63" s="10" t="s">
        <v>589</v>
      </c>
      <c r="AC63" s="12"/>
      <c r="AD63" s="11"/>
      <c r="AE63" s="2"/>
      <c r="AF63" s="2" t="s">
        <v>590</v>
      </c>
      <c r="AG63" s="2" t="s">
        <v>591</v>
      </c>
      <c r="AH63" s="2"/>
      <c r="AI63" s="2" t="s">
        <v>61</v>
      </c>
      <c r="AJ63" s="2" t="s">
        <v>594</v>
      </c>
      <c r="AK63" s="2" t="s">
        <v>50</v>
      </c>
    </row>
    <row r="64" spans="1:37" ht="15" customHeight="1">
      <c r="A64">
        <v>62</v>
      </c>
      <c r="B64" s="2" t="s">
        <v>584</v>
      </c>
      <c r="C64" s="2" t="s">
        <v>585</v>
      </c>
      <c r="D64" s="2" t="s">
        <v>38</v>
      </c>
      <c r="E64" s="2" t="s">
        <v>39</v>
      </c>
      <c r="F64" s="2" t="s">
        <v>241</v>
      </c>
      <c r="G64" s="3">
        <v>655.4</v>
      </c>
      <c r="H64" s="4"/>
      <c r="I64" s="5">
        <v>55</v>
      </c>
      <c r="J64" s="2" t="s">
        <v>91</v>
      </c>
      <c r="K64" s="2" t="s">
        <v>949</v>
      </c>
      <c r="L64" s="2" t="s">
        <v>44</v>
      </c>
      <c r="M64" s="2" t="s">
        <v>45</v>
      </c>
      <c r="N64" s="2" t="s">
        <v>595</v>
      </c>
      <c r="O64" s="2" t="s">
        <v>596</v>
      </c>
      <c r="P64" s="2" t="s">
        <v>63</v>
      </c>
      <c r="Q64" s="2"/>
      <c r="R64" s="2" t="s">
        <v>597</v>
      </c>
      <c r="S64" s="2" t="s">
        <v>586</v>
      </c>
      <c r="T64" s="2"/>
      <c r="U64" s="2" t="s">
        <v>587</v>
      </c>
      <c r="V64" s="10" t="s">
        <v>35</v>
      </c>
      <c r="W64" s="11"/>
      <c r="X64" s="2" t="s">
        <v>588</v>
      </c>
      <c r="Y64" s="10" t="s">
        <v>120</v>
      </c>
      <c r="Z64" s="12"/>
      <c r="AA64" s="11"/>
      <c r="AB64" s="10" t="s">
        <v>589</v>
      </c>
      <c r="AC64" s="12"/>
      <c r="AD64" s="11"/>
      <c r="AE64" s="2"/>
      <c r="AF64" s="2" t="s">
        <v>590</v>
      </c>
      <c r="AG64" s="2" t="s">
        <v>591</v>
      </c>
      <c r="AH64" s="2"/>
      <c r="AI64" s="2" t="s">
        <v>61</v>
      </c>
      <c r="AJ64" s="2" t="s">
        <v>598</v>
      </c>
      <c r="AK64" s="2" t="s">
        <v>50</v>
      </c>
    </row>
    <row r="65" spans="1:37" ht="15" customHeight="1">
      <c r="A65">
        <v>63</v>
      </c>
      <c r="B65" s="2" t="s">
        <v>584</v>
      </c>
      <c r="C65" s="2" t="s">
        <v>585</v>
      </c>
      <c r="D65" s="2" t="s">
        <v>38</v>
      </c>
      <c r="E65" s="2" t="s">
        <v>39</v>
      </c>
      <c r="F65" s="2" t="s">
        <v>173</v>
      </c>
      <c r="G65" s="3">
        <v>1330.11</v>
      </c>
      <c r="H65" s="4"/>
      <c r="I65" s="5">
        <v>55</v>
      </c>
      <c r="J65" s="2" t="s">
        <v>91</v>
      </c>
      <c r="K65" s="2" t="s">
        <v>949</v>
      </c>
      <c r="L65" s="2" t="s">
        <v>44</v>
      </c>
      <c r="M65" s="2" t="s">
        <v>45</v>
      </c>
      <c r="N65" s="2" t="s">
        <v>599</v>
      </c>
      <c r="O65" s="2" t="s">
        <v>157</v>
      </c>
      <c r="P65" s="2" t="s">
        <v>63</v>
      </c>
      <c r="Q65" s="2"/>
      <c r="R65" s="2" t="s">
        <v>600</v>
      </c>
      <c r="S65" s="2" t="s">
        <v>586</v>
      </c>
      <c r="T65" s="2"/>
      <c r="U65" s="2" t="s">
        <v>587</v>
      </c>
      <c r="V65" s="10" t="s">
        <v>35</v>
      </c>
      <c r="W65" s="11"/>
      <c r="X65" s="2" t="s">
        <v>588</v>
      </c>
      <c r="Y65" s="10" t="s">
        <v>120</v>
      </c>
      <c r="Z65" s="12"/>
      <c r="AA65" s="11"/>
      <c r="AB65" s="10" t="s">
        <v>589</v>
      </c>
      <c r="AC65" s="12"/>
      <c r="AD65" s="11"/>
      <c r="AE65" s="2"/>
      <c r="AF65" s="2" t="s">
        <v>590</v>
      </c>
      <c r="AG65" s="2" t="s">
        <v>591</v>
      </c>
      <c r="AH65" s="2"/>
      <c r="AI65" s="2" t="s">
        <v>61</v>
      </c>
      <c r="AJ65" s="2" t="s">
        <v>601</v>
      </c>
      <c r="AK65" s="2" t="s">
        <v>50</v>
      </c>
    </row>
    <row r="66" spans="1:37" ht="15" customHeight="1">
      <c r="A66">
        <v>64</v>
      </c>
      <c r="B66" s="2" t="s">
        <v>584</v>
      </c>
      <c r="C66" s="2" t="s">
        <v>585</v>
      </c>
      <c r="D66" s="2" t="s">
        <v>38</v>
      </c>
      <c r="E66" s="2" t="s">
        <v>39</v>
      </c>
      <c r="F66" s="2" t="s">
        <v>602</v>
      </c>
      <c r="G66" s="3">
        <v>63.46</v>
      </c>
      <c r="H66" s="4"/>
      <c r="I66" s="5">
        <v>6</v>
      </c>
      <c r="J66" s="2" t="s">
        <v>91</v>
      </c>
      <c r="K66" s="2" t="s">
        <v>949</v>
      </c>
      <c r="L66" s="2" t="s">
        <v>44</v>
      </c>
      <c r="M66" s="2" t="s">
        <v>45</v>
      </c>
      <c r="N66" s="2" t="s">
        <v>603</v>
      </c>
      <c r="O66" s="2" t="s">
        <v>157</v>
      </c>
      <c r="P66" s="2" t="s">
        <v>63</v>
      </c>
      <c r="Q66" s="2"/>
      <c r="R66" s="2" t="s">
        <v>604</v>
      </c>
      <c r="S66" s="2" t="s">
        <v>586</v>
      </c>
      <c r="T66" s="2"/>
      <c r="U66" s="2" t="s">
        <v>587</v>
      </c>
      <c r="V66" s="10" t="s">
        <v>35</v>
      </c>
      <c r="W66" s="11"/>
      <c r="X66" s="2" t="s">
        <v>588</v>
      </c>
      <c r="Y66" s="10" t="s">
        <v>120</v>
      </c>
      <c r="Z66" s="12"/>
      <c r="AA66" s="11"/>
      <c r="AB66" s="10" t="s">
        <v>589</v>
      </c>
      <c r="AC66" s="12"/>
      <c r="AD66" s="11"/>
      <c r="AE66" s="2"/>
      <c r="AF66" s="2" t="s">
        <v>590</v>
      </c>
      <c r="AG66" s="2" t="s">
        <v>591</v>
      </c>
      <c r="AH66" s="2"/>
      <c r="AI66" s="2" t="s">
        <v>61</v>
      </c>
      <c r="AJ66" s="2" t="s">
        <v>605</v>
      </c>
      <c r="AK66" s="2" t="s">
        <v>50</v>
      </c>
    </row>
    <row r="67" spans="1:37" ht="15" customHeight="1">
      <c r="A67">
        <v>65</v>
      </c>
      <c r="B67" s="2" t="s">
        <v>606</v>
      </c>
      <c r="C67" s="2" t="s">
        <v>607</v>
      </c>
      <c r="D67" s="2" t="s">
        <v>110</v>
      </c>
      <c r="E67" s="2" t="s">
        <v>39</v>
      </c>
      <c r="F67" s="2" t="s">
        <v>62</v>
      </c>
      <c r="G67" s="3">
        <v>15750</v>
      </c>
      <c r="H67" s="3">
        <v>2000</v>
      </c>
      <c r="I67" s="5">
        <v>1500</v>
      </c>
      <c r="J67" s="2" t="s">
        <v>91</v>
      </c>
      <c r="K67" s="2" t="s">
        <v>953</v>
      </c>
      <c r="L67" s="2" t="s">
        <v>44</v>
      </c>
      <c r="M67" s="2" t="s">
        <v>45</v>
      </c>
      <c r="N67" s="2" t="s">
        <v>610</v>
      </c>
      <c r="O67" s="2" t="s">
        <v>397</v>
      </c>
      <c r="P67" s="2" t="s">
        <v>609</v>
      </c>
      <c r="Q67" s="2"/>
      <c r="R67" s="2" t="s">
        <v>611</v>
      </c>
      <c r="S67" s="2" t="s">
        <v>608</v>
      </c>
      <c r="T67" s="2"/>
      <c r="U67" s="2" t="s">
        <v>86</v>
      </c>
      <c r="V67" s="10" t="s">
        <v>35</v>
      </c>
      <c r="W67" s="11"/>
      <c r="X67" s="2" t="s">
        <v>417</v>
      </c>
      <c r="Y67" s="10" t="s">
        <v>141</v>
      </c>
      <c r="Z67" s="12"/>
      <c r="AA67" s="11"/>
      <c r="AB67" s="10"/>
      <c r="AC67" s="12"/>
      <c r="AD67" s="11"/>
      <c r="AE67" s="2"/>
      <c r="AF67" s="2"/>
      <c r="AG67" s="2"/>
      <c r="AH67" s="2"/>
      <c r="AI67" s="2" t="s">
        <v>61</v>
      </c>
      <c r="AJ67" s="2" t="s">
        <v>612</v>
      </c>
      <c r="AK67" s="2" t="s">
        <v>50</v>
      </c>
    </row>
    <row r="68" spans="1:37" ht="15" customHeight="1">
      <c r="A68">
        <v>66</v>
      </c>
      <c r="B68" s="2" t="s">
        <v>613</v>
      </c>
      <c r="C68" s="2" t="s">
        <v>614</v>
      </c>
      <c r="D68" s="2" t="s">
        <v>38</v>
      </c>
      <c r="E68" s="2" t="s">
        <v>39</v>
      </c>
      <c r="F68" s="2" t="s">
        <v>41</v>
      </c>
      <c r="G68" s="3">
        <v>0</v>
      </c>
      <c r="H68" s="4"/>
      <c r="I68" s="5">
        <v>16800</v>
      </c>
      <c r="J68" s="2" t="s">
        <v>91</v>
      </c>
      <c r="K68" s="2" t="s">
        <v>949</v>
      </c>
      <c r="L68" s="2" t="s">
        <v>44</v>
      </c>
      <c r="M68" s="2" t="s">
        <v>45</v>
      </c>
      <c r="N68" s="2" t="s">
        <v>622</v>
      </c>
      <c r="O68" s="2" t="s">
        <v>623</v>
      </c>
      <c r="P68" s="2" t="s">
        <v>621</v>
      </c>
      <c r="Q68" s="2"/>
      <c r="R68" s="2" t="s">
        <v>624</v>
      </c>
      <c r="S68" s="2" t="s">
        <v>615</v>
      </c>
      <c r="T68" s="2"/>
      <c r="U68" s="2" t="s">
        <v>616</v>
      </c>
      <c r="V68" s="10" t="s">
        <v>35</v>
      </c>
      <c r="W68" s="11"/>
      <c r="X68" s="2" t="s">
        <v>617</v>
      </c>
      <c r="Y68" s="10" t="s">
        <v>37</v>
      </c>
      <c r="Z68" s="12"/>
      <c r="AA68" s="11"/>
      <c r="AB68" s="10" t="s">
        <v>618</v>
      </c>
      <c r="AC68" s="12"/>
      <c r="AD68" s="11"/>
      <c r="AE68" s="2"/>
      <c r="AF68" s="2" t="s">
        <v>619</v>
      </c>
      <c r="AG68" s="2" t="s">
        <v>620</v>
      </c>
      <c r="AH68" s="2"/>
      <c r="AI68" s="2" t="s">
        <v>168</v>
      </c>
      <c r="AJ68" s="2" t="s">
        <v>625</v>
      </c>
      <c r="AK68" s="2" t="s">
        <v>50</v>
      </c>
    </row>
    <row r="69" spans="1:37" ht="15" customHeight="1">
      <c r="A69">
        <v>67</v>
      </c>
      <c r="B69" s="2" t="s">
        <v>613</v>
      </c>
      <c r="C69" s="2" t="s">
        <v>614</v>
      </c>
      <c r="D69" s="2" t="s">
        <v>110</v>
      </c>
      <c r="E69" s="2" t="s">
        <v>39</v>
      </c>
      <c r="F69" s="2" t="s">
        <v>41</v>
      </c>
      <c r="G69" s="3">
        <v>0</v>
      </c>
      <c r="H69" s="4"/>
      <c r="I69" s="4"/>
      <c r="J69" s="2" t="s">
        <v>91</v>
      </c>
      <c r="K69" s="2" t="s">
        <v>949</v>
      </c>
      <c r="L69" s="2" t="s">
        <v>44</v>
      </c>
      <c r="M69" s="2" t="s">
        <v>45</v>
      </c>
      <c r="N69" s="2" t="s">
        <v>626</v>
      </c>
      <c r="O69" s="2" t="s">
        <v>623</v>
      </c>
      <c r="P69" s="2" t="s">
        <v>63</v>
      </c>
      <c r="Q69" s="2"/>
      <c r="R69" s="2" t="s">
        <v>627</v>
      </c>
      <c r="S69" s="2" t="s">
        <v>615</v>
      </c>
      <c r="T69" s="2"/>
      <c r="U69" s="2" t="s">
        <v>616</v>
      </c>
      <c r="V69" s="10" t="s">
        <v>35</v>
      </c>
      <c r="W69" s="11"/>
      <c r="X69" s="2" t="s">
        <v>617</v>
      </c>
      <c r="Y69" s="10" t="s">
        <v>37</v>
      </c>
      <c r="Z69" s="12"/>
      <c r="AA69" s="11"/>
      <c r="AB69" s="10" t="s">
        <v>618</v>
      </c>
      <c r="AC69" s="12"/>
      <c r="AD69" s="11"/>
      <c r="AE69" s="2"/>
      <c r="AF69" s="2" t="s">
        <v>619</v>
      </c>
      <c r="AG69" s="2" t="s">
        <v>620</v>
      </c>
      <c r="AH69" s="2"/>
      <c r="AI69" s="2" t="s">
        <v>403</v>
      </c>
      <c r="AJ69" s="2" t="s">
        <v>628</v>
      </c>
      <c r="AK69" s="2" t="s">
        <v>50</v>
      </c>
    </row>
    <row r="70" spans="1:37" ht="15" customHeight="1">
      <c r="A70">
        <v>68</v>
      </c>
      <c r="B70" s="2" t="s">
        <v>629</v>
      </c>
      <c r="C70" s="2" t="s">
        <v>630</v>
      </c>
      <c r="D70" s="2" t="s">
        <v>38</v>
      </c>
      <c r="E70" s="2" t="s">
        <v>39</v>
      </c>
      <c r="F70" s="2" t="s">
        <v>62</v>
      </c>
      <c r="G70" s="4"/>
      <c r="H70" s="4"/>
      <c r="I70" s="5">
        <v>2000</v>
      </c>
      <c r="J70" s="2" t="s">
        <v>91</v>
      </c>
      <c r="K70" s="2" t="s">
        <v>952</v>
      </c>
      <c r="L70" s="2" t="s">
        <v>44</v>
      </c>
      <c r="M70" s="2" t="s">
        <v>45</v>
      </c>
      <c r="N70" s="2" t="s">
        <v>632</v>
      </c>
      <c r="O70" s="2" t="s">
        <v>633</v>
      </c>
      <c r="P70" s="2"/>
      <c r="Q70" s="2"/>
      <c r="R70" s="2"/>
      <c r="S70" s="2" t="s">
        <v>631</v>
      </c>
      <c r="T70" s="2"/>
      <c r="U70" s="2" t="s">
        <v>508</v>
      </c>
      <c r="V70" s="10" t="s">
        <v>35</v>
      </c>
      <c r="W70" s="11"/>
      <c r="X70" s="2" t="s">
        <v>509</v>
      </c>
      <c r="Y70" s="10" t="s">
        <v>79</v>
      </c>
      <c r="Z70" s="12"/>
      <c r="AA70" s="11"/>
      <c r="AB70" s="10"/>
      <c r="AC70" s="12"/>
      <c r="AD70" s="11"/>
      <c r="AE70" s="2"/>
      <c r="AF70" s="2"/>
      <c r="AG70" s="2"/>
      <c r="AH70" s="2"/>
      <c r="AI70" s="2" t="s">
        <v>61</v>
      </c>
      <c r="AJ70" s="2" t="s">
        <v>634</v>
      </c>
      <c r="AK70" s="2" t="s">
        <v>50</v>
      </c>
    </row>
    <row r="71" spans="1:37" ht="15" customHeight="1">
      <c r="A71">
        <v>69</v>
      </c>
      <c r="B71" s="2" t="s">
        <v>635</v>
      </c>
      <c r="C71" s="2" t="s">
        <v>69</v>
      </c>
      <c r="D71" s="2" t="s">
        <v>38</v>
      </c>
      <c r="E71" s="2" t="s">
        <v>39</v>
      </c>
      <c r="F71" s="2" t="s">
        <v>62</v>
      </c>
      <c r="G71" s="4"/>
      <c r="H71" s="4"/>
      <c r="I71" s="5">
        <v>1500</v>
      </c>
      <c r="J71" s="2" t="s">
        <v>91</v>
      </c>
      <c r="K71" s="2" t="s">
        <v>952</v>
      </c>
      <c r="L71" s="2" t="s">
        <v>44</v>
      </c>
      <c r="M71" s="2" t="s">
        <v>45</v>
      </c>
      <c r="N71" s="2" t="s">
        <v>639</v>
      </c>
      <c r="O71" s="2" t="s">
        <v>93</v>
      </c>
      <c r="P71" s="2"/>
      <c r="Q71" s="2"/>
      <c r="R71" s="2"/>
      <c r="S71" s="2" t="s">
        <v>636</v>
      </c>
      <c r="T71" s="2"/>
      <c r="U71" s="2" t="s">
        <v>637</v>
      </c>
      <c r="V71" s="10" t="s">
        <v>35</v>
      </c>
      <c r="W71" s="11"/>
      <c r="X71" s="2" t="s">
        <v>638</v>
      </c>
      <c r="Y71" s="10" t="s">
        <v>56</v>
      </c>
      <c r="Z71" s="12"/>
      <c r="AA71" s="11"/>
      <c r="AB71" s="10"/>
      <c r="AC71" s="12"/>
      <c r="AD71" s="11"/>
      <c r="AE71" s="2"/>
      <c r="AF71" s="2"/>
      <c r="AG71" s="2"/>
      <c r="AH71" s="2"/>
      <c r="AI71" s="2" t="s">
        <v>61</v>
      </c>
      <c r="AJ71" s="2" t="s">
        <v>640</v>
      </c>
      <c r="AK71" s="2" t="s">
        <v>50</v>
      </c>
    </row>
    <row r="72" spans="1:37" ht="15" customHeight="1">
      <c r="A72">
        <v>70</v>
      </c>
      <c r="B72" s="2" t="s">
        <v>641</v>
      </c>
      <c r="C72" s="2" t="s">
        <v>69</v>
      </c>
      <c r="D72" s="2" t="s">
        <v>38</v>
      </c>
      <c r="E72" s="2" t="s">
        <v>39</v>
      </c>
      <c r="F72" s="2" t="s">
        <v>41</v>
      </c>
      <c r="G72" s="3">
        <v>0</v>
      </c>
      <c r="H72" s="4"/>
      <c r="I72" s="4"/>
      <c r="J72" s="2" t="s">
        <v>91</v>
      </c>
      <c r="K72" s="2" t="s">
        <v>951</v>
      </c>
      <c r="L72" s="2" t="s">
        <v>44</v>
      </c>
      <c r="M72" s="2" t="s">
        <v>45</v>
      </c>
      <c r="N72" s="2" t="s">
        <v>644</v>
      </c>
      <c r="O72" s="2" t="s">
        <v>176</v>
      </c>
      <c r="P72" s="2"/>
      <c r="Q72" s="2"/>
      <c r="R72" s="2"/>
      <c r="S72" s="2"/>
      <c r="T72" s="2"/>
      <c r="U72" s="2"/>
      <c r="V72" s="10"/>
      <c r="W72" s="11"/>
      <c r="X72" s="2"/>
      <c r="Y72" s="10" t="s">
        <v>141</v>
      </c>
      <c r="Z72" s="12"/>
      <c r="AA72" s="11"/>
      <c r="AB72" s="10" t="s">
        <v>642</v>
      </c>
      <c r="AC72" s="12"/>
      <c r="AD72" s="11"/>
      <c r="AE72" s="2"/>
      <c r="AF72" s="2"/>
      <c r="AG72" s="2"/>
      <c r="AH72" s="2" t="s">
        <v>643</v>
      </c>
      <c r="AI72" s="2" t="s">
        <v>61</v>
      </c>
      <c r="AJ72" s="2" t="s">
        <v>645</v>
      </c>
      <c r="AK72" s="2" t="s">
        <v>50</v>
      </c>
    </row>
    <row r="73" spans="1:37" ht="15" customHeight="1">
      <c r="A73">
        <v>71</v>
      </c>
      <c r="B73" s="2" t="s">
        <v>646</v>
      </c>
      <c r="C73" s="2" t="s">
        <v>647</v>
      </c>
      <c r="D73" s="2" t="s">
        <v>38</v>
      </c>
      <c r="E73" s="2" t="s">
        <v>39</v>
      </c>
      <c r="F73" s="2" t="s">
        <v>651</v>
      </c>
      <c r="G73" s="3">
        <v>234.52</v>
      </c>
      <c r="H73" s="4"/>
      <c r="I73" s="5">
        <v>40</v>
      </c>
      <c r="J73" s="2" t="s">
        <v>80</v>
      </c>
      <c r="K73" s="2" t="s">
        <v>949</v>
      </c>
      <c r="L73" s="2" t="s">
        <v>44</v>
      </c>
      <c r="M73" s="2" t="s">
        <v>45</v>
      </c>
      <c r="N73" s="2" t="s">
        <v>653</v>
      </c>
      <c r="O73" s="2" t="s">
        <v>157</v>
      </c>
      <c r="P73" s="2" t="s">
        <v>652</v>
      </c>
      <c r="Q73" s="2"/>
      <c r="R73" s="2" t="s">
        <v>654</v>
      </c>
      <c r="S73" s="2" t="s">
        <v>648</v>
      </c>
      <c r="T73" s="2"/>
      <c r="U73" s="2" t="s">
        <v>211</v>
      </c>
      <c r="V73" s="10" t="s">
        <v>35</v>
      </c>
      <c r="W73" s="11"/>
      <c r="X73" s="2" t="s">
        <v>212</v>
      </c>
      <c r="Y73" s="10" t="s">
        <v>120</v>
      </c>
      <c r="Z73" s="12"/>
      <c r="AA73" s="11"/>
      <c r="AB73" s="10" t="s">
        <v>649</v>
      </c>
      <c r="AC73" s="12"/>
      <c r="AD73" s="11"/>
      <c r="AE73" s="2"/>
      <c r="AF73" s="2"/>
      <c r="AG73" s="2" t="s">
        <v>650</v>
      </c>
      <c r="AH73" s="2"/>
      <c r="AI73" s="2" t="s">
        <v>61</v>
      </c>
      <c r="AJ73" s="2" t="s">
        <v>655</v>
      </c>
      <c r="AK73" s="2" t="s">
        <v>50</v>
      </c>
    </row>
    <row r="74" spans="1:37" ht="15" customHeight="1">
      <c r="A74">
        <v>72</v>
      </c>
      <c r="B74" s="2" t="s">
        <v>656</v>
      </c>
      <c r="C74" s="2" t="s">
        <v>657</v>
      </c>
      <c r="D74" s="2" t="s">
        <v>38</v>
      </c>
      <c r="E74" s="2" t="s">
        <v>39</v>
      </c>
      <c r="F74" s="2" t="s">
        <v>241</v>
      </c>
      <c r="G74" s="3">
        <v>0</v>
      </c>
      <c r="H74" s="4"/>
      <c r="I74" s="5">
        <v>3000</v>
      </c>
      <c r="J74" s="2" t="s">
        <v>91</v>
      </c>
      <c r="K74" s="2" t="s">
        <v>952</v>
      </c>
      <c r="L74" s="2" t="s">
        <v>44</v>
      </c>
      <c r="M74" s="2" t="s">
        <v>45</v>
      </c>
      <c r="N74" s="2" t="s">
        <v>661</v>
      </c>
      <c r="O74" s="2" t="s">
        <v>662</v>
      </c>
      <c r="P74" s="2"/>
      <c r="Q74" s="2"/>
      <c r="R74" s="2"/>
      <c r="S74" s="2" t="s">
        <v>658</v>
      </c>
      <c r="T74" s="2"/>
      <c r="U74" s="2" t="s">
        <v>659</v>
      </c>
      <c r="V74" s="10" t="s">
        <v>35</v>
      </c>
      <c r="W74" s="11"/>
      <c r="X74" s="2" t="s">
        <v>660</v>
      </c>
      <c r="Y74" s="10" t="s">
        <v>79</v>
      </c>
      <c r="Z74" s="12"/>
      <c r="AA74" s="11"/>
      <c r="AB74" s="10"/>
      <c r="AC74" s="12"/>
      <c r="AD74" s="11"/>
      <c r="AE74" s="2"/>
      <c r="AF74" s="2"/>
      <c r="AG74" s="2"/>
      <c r="AH74" s="2"/>
      <c r="AI74" s="2" t="s">
        <v>61</v>
      </c>
      <c r="AJ74" s="2" t="s">
        <v>663</v>
      </c>
      <c r="AK74" s="2" t="s">
        <v>50</v>
      </c>
    </row>
    <row r="75" spans="1:37" ht="15" customHeight="1">
      <c r="A75">
        <v>73</v>
      </c>
      <c r="B75" s="2" t="s">
        <v>664</v>
      </c>
      <c r="C75" s="2" t="s">
        <v>69</v>
      </c>
      <c r="D75" s="2" t="s">
        <v>38</v>
      </c>
      <c r="E75" s="2" t="s">
        <v>39</v>
      </c>
      <c r="F75" s="2" t="s">
        <v>41</v>
      </c>
      <c r="G75" s="3">
        <v>0</v>
      </c>
      <c r="H75" s="4"/>
      <c r="I75" s="5">
        <v>4000</v>
      </c>
      <c r="J75" s="2" t="s">
        <v>91</v>
      </c>
      <c r="K75" s="2" t="s">
        <v>951</v>
      </c>
      <c r="L75" s="2" t="s">
        <v>44</v>
      </c>
      <c r="M75" s="2" t="s">
        <v>45</v>
      </c>
      <c r="N75" s="2" t="s">
        <v>669</v>
      </c>
      <c r="O75" s="2" t="s">
        <v>82</v>
      </c>
      <c r="P75" s="2"/>
      <c r="Q75" s="2"/>
      <c r="R75" s="2"/>
      <c r="S75" s="2" t="s">
        <v>665</v>
      </c>
      <c r="T75" s="2"/>
      <c r="U75" s="2" t="s">
        <v>130</v>
      </c>
      <c r="V75" s="10" t="s">
        <v>35</v>
      </c>
      <c r="W75" s="11"/>
      <c r="X75" s="2" t="s">
        <v>666</v>
      </c>
      <c r="Y75" s="10" t="s">
        <v>131</v>
      </c>
      <c r="Z75" s="12"/>
      <c r="AA75" s="11"/>
      <c r="AB75" s="10" t="s">
        <v>667</v>
      </c>
      <c r="AC75" s="12"/>
      <c r="AD75" s="11"/>
      <c r="AE75" s="2"/>
      <c r="AF75" s="2"/>
      <c r="AG75" s="2" t="s">
        <v>668</v>
      </c>
      <c r="AH75" s="2"/>
      <c r="AI75" s="2" t="s">
        <v>61</v>
      </c>
      <c r="AJ75" s="2" t="s">
        <v>670</v>
      </c>
      <c r="AK75" s="2" t="s">
        <v>50</v>
      </c>
    </row>
    <row r="76" spans="1:37" ht="15" customHeight="1">
      <c r="A76">
        <v>74</v>
      </c>
      <c r="B76" s="2" t="s">
        <v>671</v>
      </c>
      <c r="C76" s="2" t="s">
        <v>672</v>
      </c>
      <c r="D76" s="2" t="s">
        <v>38</v>
      </c>
      <c r="E76" s="2" t="s">
        <v>39</v>
      </c>
      <c r="F76" s="2" t="s">
        <v>41</v>
      </c>
      <c r="G76" s="4"/>
      <c r="H76" s="4"/>
      <c r="I76" s="4"/>
      <c r="J76" s="2" t="s">
        <v>91</v>
      </c>
      <c r="K76" s="2" t="s">
        <v>949</v>
      </c>
      <c r="L76" s="2" t="s">
        <v>44</v>
      </c>
      <c r="M76" s="2" t="s">
        <v>45</v>
      </c>
      <c r="N76" s="2" t="s">
        <v>679</v>
      </c>
      <c r="O76" s="2" t="s">
        <v>680</v>
      </c>
      <c r="P76" s="2"/>
      <c r="Q76" s="2"/>
      <c r="R76" s="2" t="s">
        <v>681</v>
      </c>
      <c r="S76" s="2" t="s">
        <v>673</v>
      </c>
      <c r="T76" s="2"/>
      <c r="U76" s="2" t="s">
        <v>674</v>
      </c>
      <c r="V76" s="10" t="s">
        <v>35</v>
      </c>
      <c r="W76" s="11"/>
      <c r="X76" s="2" t="s">
        <v>675</v>
      </c>
      <c r="Y76" s="10" t="s">
        <v>79</v>
      </c>
      <c r="Z76" s="12"/>
      <c r="AA76" s="11"/>
      <c r="AB76" s="10" t="s">
        <v>676</v>
      </c>
      <c r="AC76" s="12"/>
      <c r="AD76" s="11"/>
      <c r="AE76" s="2"/>
      <c r="AF76" s="2" t="s">
        <v>677</v>
      </c>
      <c r="AG76" s="2"/>
      <c r="AH76" s="2" t="s">
        <v>678</v>
      </c>
      <c r="AI76" s="2" t="s">
        <v>490</v>
      </c>
      <c r="AJ76" s="2" t="s">
        <v>682</v>
      </c>
      <c r="AK76" s="2" t="s">
        <v>50</v>
      </c>
    </row>
    <row r="77" spans="1:37" ht="15" customHeight="1">
      <c r="A77">
        <v>75</v>
      </c>
      <c r="B77" s="2" t="s">
        <v>683</v>
      </c>
      <c r="C77" s="2" t="s">
        <v>684</v>
      </c>
      <c r="D77" s="2" t="s">
        <v>38</v>
      </c>
      <c r="E77" s="2" t="s">
        <v>39</v>
      </c>
      <c r="F77" s="2" t="s">
        <v>62</v>
      </c>
      <c r="G77" s="3">
        <v>0</v>
      </c>
      <c r="H77" s="4"/>
      <c r="I77" s="5">
        <v>7500</v>
      </c>
      <c r="J77" s="2" t="s">
        <v>42</v>
      </c>
      <c r="K77" s="2" t="s">
        <v>951</v>
      </c>
      <c r="L77" s="2" t="s">
        <v>44</v>
      </c>
      <c r="M77" s="2" t="s">
        <v>45</v>
      </c>
      <c r="N77" s="2" t="s">
        <v>687</v>
      </c>
      <c r="O77" s="2" t="s">
        <v>82</v>
      </c>
      <c r="P77" s="2"/>
      <c r="Q77" s="2"/>
      <c r="R77" s="2"/>
      <c r="S77" s="2" t="s">
        <v>685</v>
      </c>
      <c r="T77" s="2"/>
      <c r="U77" s="2" t="s">
        <v>686</v>
      </c>
      <c r="V77" s="10" t="s">
        <v>35</v>
      </c>
      <c r="W77" s="11"/>
      <c r="X77" s="2" t="s">
        <v>660</v>
      </c>
      <c r="Y77" s="10" t="s">
        <v>79</v>
      </c>
      <c r="Z77" s="12"/>
      <c r="AA77" s="11"/>
      <c r="AB77" s="10"/>
      <c r="AC77" s="12"/>
      <c r="AD77" s="11"/>
      <c r="AE77" s="2"/>
      <c r="AF77" s="2"/>
      <c r="AG77" s="2"/>
      <c r="AH77" s="2"/>
      <c r="AI77" s="2" t="s">
        <v>61</v>
      </c>
      <c r="AJ77" s="2" t="s">
        <v>688</v>
      </c>
      <c r="AK77" s="2" t="s">
        <v>50</v>
      </c>
    </row>
    <row r="78" spans="1:37" ht="15" customHeight="1">
      <c r="A78">
        <v>76</v>
      </c>
      <c r="B78" s="2" t="s">
        <v>689</v>
      </c>
      <c r="C78" s="2" t="s">
        <v>690</v>
      </c>
      <c r="D78" s="2" t="s">
        <v>110</v>
      </c>
      <c r="E78" s="2" t="s">
        <v>39</v>
      </c>
      <c r="F78" s="2" t="s">
        <v>62</v>
      </c>
      <c r="G78" s="3">
        <v>12000</v>
      </c>
      <c r="H78" s="3">
        <v>60000</v>
      </c>
      <c r="I78" s="5">
        <v>6000</v>
      </c>
      <c r="J78" s="2" t="s">
        <v>80</v>
      </c>
      <c r="K78" s="2" t="s">
        <v>951</v>
      </c>
      <c r="L78" s="2" t="s">
        <v>44</v>
      </c>
      <c r="M78" s="2" t="s">
        <v>45</v>
      </c>
      <c r="N78" s="2" t="s">
        <v>696</v>
      </c>
      <c r="O78" s="2" t="s">
        <v>697</v>
      </c>
      <c r="P78" s="2" t="s">
        <v>395</v>
      </c>
      <c r="Q78" s="2"/>
      <c r="R78" s="2" t="s">
        <v>698</v>
      </c>
      <c r="S78" s="2" t="s">
        <v>691</v>
      </c>
      <c r="T78" s="2"/>
      <c r="U78" s="2" t="s">
        <v>552</v>
      </c>
      <c r="V78" s="10" t="s">
        <v>35</v>
      </c>
      <c r="W78" s="11"/>
      <c r="X78" s="2" t="s">
        <v>692</v>
      </c>
      <c r="Y78" s="10" t="s">
        <v>79</v>
      </c>
      <c r="Z78" s="12"/>
      <c r="AA78" s="11"/>
      <c r="AB78" s="10" t="s">
        <v>693</v>
      </c>
      <c r="AC78" s="12"/>
      <c r="AD78" s="11"/>
      <c r="AE78" s="2"/>
      <c r="AF78" s="2" t="s">
        <v>694</v>
      </c>
      <c r="AG78" s="2" t="s">
        <v>695</v>
      </c>
      <c r="AH78" s="2"/>
      <c r="AI78" s="2" t="s">
        <v>61</v>
      </c>
      <c r="AJ78" s="2" t="s">
        <v>699</v>
      </c>
      <c r="AK78" s="2" t="s">
        <v>50</v>
      </c>
    </row>
    <row r="79" spans="1:37" ht="15" customHeight="1">
      <c r="A79">
        <v>77</v>
      </c>
      <c r="B79" s="2" t="s">
        <v>700</v>
      </c>
      <c r="C79" s="2" t="s">
        <v>69</v>
      </c>
      <c r="D79" s="2" t="s">
        <v>38</v>
      </c>
      <c r="E79" s="2" t="s">
        <v>39</v>
      </c>
      <c r="F79" s="2" t="s">
        <v>241</v>
      </c>
      <c r="G79" s="4"/>
      <c r="H79" s="4"/>
      <c r="I79" s="5">
        <v>4000</v>
      </c>
      <c r="J79" s="2" t="s">
        <v>91</v>
      </c>
      <c r="K79" s="2" t="s">
        <v>952</v>
      </c>
      <c r="L79" s="2" t="s">
        <v>44</v>
      </c>
      <c r="M79" s="2" t="s">
        <v>45</v>
      </c>
      <c r="N79" s="2" t="s">
        <v>701</v>
      </c>
      <c r="O79" s="2" t="s">
        <v>93</v>
      </c>
      <c r="P79" s="2"/>
      <c r="Q79" s="2"/>
      <c r="R79" s="2"/>
      <c r="S79" s="2"/>
      <c r="T79" s="2"/>
      <c r="U79" s="2" t="s">
        <v>86</v>
      </c>
      <c r="V79" s="10" t="s">
        <v>35</v>
      </c>
      <c r="W79" s="11"/>
      <c r="X79" s="2"/>
      <c r="Y79" s="10" t="s">
        <v>79</v>
      </c>
      <c r="Z79" s="12"/>
      <c r="AA79" s="11"/>
      <c r="AB79" s="10"/>
      <c r="AC79" s="12"/>
      <c r="AD79" s="11"/>
      <c r="AE79" s="2"/>
      <c r="AF79" s="2"/>
      <c r="AG79" s="2"/>
      <c r="AH79" s="2"/>
      <c r="AI79" s="2" t="s">
        <v>61</v>
      </c>
      <c r="AJ79" s="2" t="s">
        <v>702</v>
      </c>
      <c r="AK79" s="2" t="s">
        <v>50</v>
      </c>
    </row>
    <row r="80" spans="1:37" ht="15" customHeight="1">
      <c r="A80">
        <v>78</v>
      </c>
      <c r="B80" s="2" t="s">
        <v>703</v>
      </c>
      <c r="C80" s="2" t="s">
        <v>704</v>
      </c>
      <c r="D80" s="2" t="s">
        <v>38</v>
      </c>
      <c r="E80" s="2" t="s">
        <v>39</v>
      </c>
      <c r="F80" s="2" t="s">
        <v>41</v>
      </c>
      <c r="G80" s="3">
        <v>116</v>
      </c>
      <c r="H80" s="4"/>
      <c r="I80" s="5">
        <v>55</v>
      </c>
      <c r="J80" s="2" t="s">
        <v>91</v>
      </c>
      <c r="K80" s="2" t="s">
        <v>949</v>
      </c>
      <c r="L80" s="2" t="s">
        <v>44</v>
      </c>
      <c r="M80" s="2" t="s">
        <v>45</v>
      </c>
      <c r="N80" s="2" t="s">
        <v>711</v>
      </c>
      <c r="O80" s="2" t="s">
        <v>712</v>
      </c>
      <c r="P80" s="2" t="s">
        <v>43</v>
      </c>
      <c r="Q80" s="2"/>
      <c r="R80" s="2" t="s">
        <v>713</v>
      </c>
      <c r="S80" s="2" t="s">
        <v>705</v>
      </c>
      <c r="T80" s="2"/>
      <c r="U80" s="2" t="s">
        <v>706</v>
      </c>
      <c r="V80" s="10" t="s">
        <v>35</v>
      </c>
      <c r="W80" s="11"/>
      <c r="X80" s="2" t="s">
        <v>707</v>
      </c>
      <c r="Y80" s="10" t="s">
        <v>79</v>
      </c>
      <c r="Z80" s="12"/>
      <c r="AA80" s="11"/>
      <c r="AB80" s="10" t="s">
        <v>708</v>
      </c>
      <c r="AC80" s="12"/>
      <c r="AD80" s="11"/>
      <c r="AE80" s="2"/>
      <c r="AF80" s="2" t="s">
        <v>709</v>
      </c>
      <c r="AG80" s="2" t="s">
        <v>710</v>
      </c>
      <c r="AH80" s="2"/>
      <c r="AI80" s="2" t="s">
        <v>168</v>
      </c>
      <c r="AJ80" s="2" t="s">
        <v>714</v>
      </c>
      <c r="AK80" s="2" t="s">
        <v>50</v>
      </c>
    </row>
    <row r="81" spans="1:37" ht="15" customHeight="1">
      <c r="A81">
        <v>79</v>
      </c>
      <c r="B81" s="2" t="s">
        <v>715</v>
      </c>
      <c r="C81" s="2" t="s">
        <v>69</v>
      </c>
      <c r="D81" s="2" t="s">
        <v>38</v>
      </c>
      <c r="E81" s="2" t="s">
        <v>39</v>
      </c>
      <c r="F81" s="2" t="s">
        <v>41</v>
      </c>
      <c r="G81" s="3">
        <v>2000000</v>
      </c>
      <c r="H81" s="4"/>
      <c r="I81" s="4"/>
      <c r="J81" s="2" t="s">
        <v>91</v>
      </c>
      <c r="K81" s="2" t="s">
        <v>949</v>
      </c>
      <c r="L81" s="2" t="s">
        <v>44</v>
      </c>
      <c r="M81" s="2" t="s">
        <v>45</v>
      </c>
      <c r="N81" s="2" t="s">
        <v>719</v>
      </c>
      <c r="O81" s="2" t="s">
        <v>157</v>
      </c>
      <c r="P81" s="2"/>
      <c r="Q81" s="2"/>
      <c r="R81" s="2" t="s">
        <v>720</v>
      </c>
      <c r="S81" s="2" t="s">
        <v>716</v>
      </c>
      <c r="T81" s="2"/>
      <c r="U81" s="2" t="s">
        <v>717</v>
      </c>
      <c r="V81" s="10" t="s">
        <v>273</v>
      </c>
      <c r="W81" s="11"/>
      <c r="X81" s="2" t="s">
        <v>718</v>
      </c>
      <c r="Y81" s="10" t="s">
        <v>131</v>
      </c>
      <c r="Z81" s="12"/>
      <c r="AA81" s="11"/>
      <c r="AB81" s="10"/>
      <c r="AC81" s="12"/>
      <c r="AD81" s="11"/>
      <c r="AE81" s="2"/>
      <c r="AF81" s="2"/>
      <c r="AG81" s="2"/>
      <c r="AH81" s="2"/>
      <c r="AI81" s="2" t="s">
        <v>61</v>
      </c>
      <c r="AJ81" s="2" t="s">
        <v>721</v>
      </c>
      <c r="AK81" s="2" t="s">
        <v>50</v>
      </c>
    </row>
    <row r="82" spans="1:37" ht="15" customHeight="1">
      <c r="A82">
        <v>80</v>
      </c>
      <c r="B82" s="2" t="s">
        <v>722</v>
      </c>
      <c r="C82" s="2" t="s">
        <v>69</v>
      </c>
      <c r="D82" s="2" t="s">
        <v>38</v>
      </c>
      <c r="E82" s="2" t="s">
        <v>39</v>
      </c>
      <c r="F82" s="2" t="s">
        <v>41</v>
      </c>
      <c r="G82" s="3">
        <v>0</v>
      </c>
      <c r="H82" s="4"/>
      <c r="I82" s="5">
        <v>5000</v>
      </c>
      <c r="J82" s="2" t="s">
        <v>80</v>
      </c>
      <c r="K82" s="2" t="s">
        <v>951</v>
      </c>
      <c r="L82" s="2" t="s">
        <v>44</v>
      </c>
      <c r="M82" s="2" t="s">
        <v>45</v>
      </c>
      <c r="N82" s="2" t="s">
        <v>728</v>
      </c>
      <c r="O82" s="2" t="s">
        <v>82</v>
      </c>
      <c r="P82" s="2"/>
      <c r="Q82" s="2"/>
      <c r="R82" s="2" t="s">
        <v>729</v>
      </c>
      <c r="S82" s="2" t="s">
        <v>723</v>
      </c>
      <c r="T82" s="2"/>
      <c r="U82" s="2" t="s">
        <v>130</v>
      </c>
      <c r="V82" s="10" t="s">
        <v>35</v>
      </c>
      <c r="W82" s="11"/>
      <c r="X82" s="2" t="s">
        <v>724</v>
      </c>
      <c r="Y82" s="10" t="s">
        <v>37</v>
      </c>
      <c r="Z82" s="12"/>
      <c r="AA82" s="11"/>
      <c r="AB82" s="10" t="s">
        <v>725</v>
      </c>
      <c r="AC82" s="12"/>
      <c r="AD82" s="11"/>
      <c r="AE82" s="2"/>
      <c r="AF82" s="2" t="s">
        <v>726</v>
      </c>
      <c r="AG82" s="2" t="s">
        <v>727</v>
      </c>
      <c r="AH82" s="2"/>
      <c r="AI82" s="2" t="s">
        <v>61</v>
      </c>
      <c r="AJ82" s="2" t="s">
        <v>730</v>
      </c>
      <c r="AK82" s="2" t="s">
        <v>50</v>
      </c>
    </row>
    <row r="83" spans="1:37" ht="15" customHeight="1">
      <c r="A83">
        <v>81</v>
      </c>
      <c r="B83" s="2" t="s">
        <v>731</v>
      </c>
      <c r="C83" s="2" t="s">
        <v>732</v>
      </c>
      <c r="D83" s="2" t="s">
        <v>38</v>
      </c>
      <c r="E83" s="2" t="s">
        <v>39</v>
      </c>
      <c r="F83" s="2" t="s">
        <v>62</v>
      </c>
      <c r="G83" s="3">
        <v>2538.5</v>
      </c>
      <c r="H83" s="4"/>
      <c r="I83" s="5">
        <v>400</v>
      </c>
      <c r="J83" s="2" t="s">
        <v>91</v>
      </c>
      <c r="K83" s="2" t="s">
        <v>949</v>
      </c>
      <c r="L83" s="2" t="s">
        <v>44</v>
      </c>
      <c r="M83" s="2" t="s">
        <v>45</v>
      </c>
      <c r="N83" s="2" t="s">
        <v>738</v>
      </c>
      <c r="O83" s="2" t="s">
        <v>739</v>
      </c>
      <c r="P83" s="2" t="s">
        <v>621</v>
      </c>
      <c r="Q83" s="2"/>
      <c r="R83" s="2" t="s">
        <v>740</v>
      </c>
      <c r="S83" s="2" t="s">
        <v>733</v>
      </c>
      <c r="T83" s="2"/>
      <c r="U83" s="2" t="s">
        <v>34</v>
      </c>
      <c r="V83" s="10" t="s">
        <v>35</v>
      </c>
      <c r="W83" s="11"/>
      <c r="X83" s="2" t="s">
        <v>734</v>
      </c>
      <c r="Y83" s="10" t="s">
        <v>131</v>
      </c>
      <c r="Z83" s="12"/>
      <c r="AA83" s="11"/>
      <c r="AB83" s="10" t="s">
        <v>735</v>
      </c>
      <c r="AC83" s="12"/>
      <c r="AD83" s="11"/>
      <c r="AE83" s="2"/>
      <c r="AF83" s="2" t="s">
        <v>736</v>
      </c>
      <c r="AG83" s="2" t="s">
        <v>737</v>
      </c>
      <c r="AH83" s="2"/>
      <c r="AI83" s="2" t="s">
        <v>61</v>
      </c>
      <c r="AJ83" s="2" t="s">
        <v>741</v>
      </c>
      <c r="AK83" s="2" t="s">
        <v>50</v>
      </c>
    </row>
    <row r="84" spans="1:37" ht="15" customHeight="1">
      <c r="A84">
        <v>82</v>
      </c>
      <c r="B84" s="2" t="s">
        <v>742</v>
      </c>
      <c r="C84" s="2" t="s">
        <v>69</v>
      </c>
      <c r="D84" s="2" t="s">
        <v>38</v>
      </c>
      <c r="E84" s="2" t="s">
        <v>39</v>
      </c>
      <c r="F84" s="2" t="s">
        <v>62</v>
      </c>
      <c r="G84" s="3">
        <v>0</v>
      </c>
      <c r="H84" s="4"/>
      <c r="I84" s="5">
        <v>10000</v>
      </c>
      <c r="J84" s="2" t="s">
        <v>91</v>
      </c>
      <c r="K84" s="2" t="s">
        <v>949</v>
      </c>
      <c r="L84" s="2" t="s">
        <v>44</v>
      </c>
      <c r="M84" s="2" t="s">
        <v>45</v>
      </c>
      <c r="N84" s="2" t="s">
        <v>748</v>
      </c>
      <c r="O84" s="2" t="s">
        <v>471</v>
      </c>
      <c r="P84" s="2" t="s">
        <v>476</v>
      </c>
      <c r="Q84" s="2" t="s">
        <v>749</v>
      </c>
      <c r="R84" s="2"/>
      <c r="S84" s="2" t="s">
        <v>743</v>
      </c>
      <c r="T84" s="2"/>
      <c r="U84" s="2" t="s">
        <v>744</v>
      </c>
      <c r="V84" s="10" t="s">
        <v>35</v>
      </c>
      <c r="W84" s="11"/>
      <c r="X84" s="2" t="s">
        <v>745</v>
      </c>
      <c r="Y84" s="10" t="s">
        <v>131</v>
      </c>
      <c r="Z84" s="12"/>
      <c r="AA84" s="11"/>
      <c r="AB84" s="10" t="s">
        <v>746</v>
      </c>
      <c r="AC84" s="12"/>
      <c r="AD84" s="11"/>
      <c r="AE84" s="2"/>
      <c r="AF84" s="2"/>
      <c r="AG84" s="2" t="s">
        <v>747</v>
      </c>
      <c r="AH84" s="2"/>
      <c r="AI84" s="2" t="s">
        <v>61</v>
      </c>
      <c r="AJ84" s="2" t="s">
        <v>750</v>
      </c>
      <c r="AK84" s="2"/>
    </row>
    <row r="85" spans="1:37" ht="15" customHeight="1">
      <c r="A85">
        <v>83</v>
      </c>
      <c r="B85" s="2" t="s">
        <v>751</v>
      </c>
      <c r="C85" s="2" t="s">
        <v>752</v>
      </c>
      <c r="D85" s="2" t="s">
        <v>110</v>
      </c>
      <c r="E85" s="2" t="s">
        <v>39</v>
      </c>
      <c r="F85" s="2" t="s">
        <v>62</v>
      </c>
      <c r="G85" s="3">
        <v>30000</v>
      </c>
      <c r="H85" s="3">
        <v>5000</v>
      </c>
      <c r="I85" s="5">
        <v>3000</v>
      </c>
      <c r="J85" s="2" t="s">
        <v>91</v>
      </c>
      <c r="K85" s="2" t="s">
        <v>950</v>
      </c>
      <c r="L85" s="2" t="s">
        <v>44</v>
      </c>
      <c r="M85" s="2" t="s">
        <v>45</v>
      </c>
      <c r="N85" s="2" t="s">
        <v>754</v>
      </c>
      <c r="O85" s="2" t="s">
        <v>755</v>
      </c>
      <c r="P85" s="2"/>
      <c r="Q85" s="2"/>
      <c r="R85" s="2" t="s">
        <v>756</v>
      </c>
      <c r="S85" s="2" t="s">
        <v>753</v>
      </c>
      <c r="T85" s="2"/>
      <c r="U85" s="2" t="s">
        <v>297</v>
      </c>
      <c r="V85" s="10" t="s">
        <v>35</v>
      </c>
      <c r="W85" s="11"/>
      <c r="X85" s="2" t="s">
        <v>638</v>
      </c>
      <c r="Y85" s="10" t="s">
        <v>141</v>
      </c>
      <c r="Z85" s="12"/>
      <c r="AA85" s="11"/>
      <c r="AB85" s="10"/>
      <c r="AC85" s="12"/>
      <c r="AD85" s="11"/>
      <c r="AE85" s="2"/>
      <c r="AF85" s="2"/>
      <c r="AG85" s="2"/>
      <c r="AH85" s="2"/>
      <c r="AI85" s="2" t="s">
        <v>61</v>
      </c>
      <c r="AJ85" s="2" t="s">
        <v>757</v>
      </c>
      <c r="AK85" s="2" t="s">
        <v>50</v>
      </c>
    </row>
    <row r="86" spans="1:37" ht="15" customHeight="1">
      <c r="A86">
        <v>84</v>
      </c>
      <c r="B86" s="2" t="s">
        <v>758</v>
      </c>
      <c r="C86" s="2" t="s">
        <v>69</v>
      </c>
      <c r="D86" s="2" t="s">
        <v>38</v>
      </c>
      <c r="E86" s="2" t="s">
        <v>39</v>
      </c>
      <c r="F86" s="2" t="s">
        <v>41</v>
      </c>
      <c r="G86" s="3">
        <v>0</v>
      </c>
      <c r="H86" s="4"/>
      <c r="I86" s="5">
        <v>8000</v>
      </c>
      <c r="J86" s="2" t="s">
        <v>91</v>
      </c>
      <c r="K86" s="2" t="s">
        <v>951</v>
      </c>
      <c r="L86" s="2" t="s">
        <v>44</v>
      </c>
      <c r="M86" s="2" t="s">
        <v>45</v>
      </c>
      <c r="N86" s="2" t="s">
        <v>762</v>
      </c>
      <c r="O86" s="2" t="s">
        <v>93</v>
      </c>
      <c r="P86" s="2"/>
      <c r="Q86" s="2" t="s">
        <v>763</v>
      </c>
      <c r="R86" s="2" t="s">
        <v>764</v>
      </c>
      <c r="S86" s="2" t="s">
        <v>759</v>
      </c>
      <c r="T86" s="2"/>
      <c r="U86" s="2" t="s">
        <v>86</v>
      </c>
      <c r="V86" s="10" t="s">
        <v>760</v>
      </c>
      <c r="W86" s="11"/>
      <c r="X86" s="2" t="s">
        <v>417</v>
      </c>
      <c r="Y86" s="10" t="s">
        <v>293</v>
      </c>
      <c r="Z86" s="12"/>
      <c r="AA86" s="11"/>
      <c r="AB86" s="10" t="s">
        <v>761</v>
      </c>
      <c r="AC86" s="12"/>
      <c r="AD86" s="11"/>
      <c r="AE86" s="2"/>
      <c r="AF86" s="2"/>
      <c r="AG86" s="2"/>
      <c r="AH86" s="2"/>
      <c r="AI86" s="2" t="s">
        <v>61</v>
      </c>
      <c r="AJ86" s="2" t="s">
        <v>765</v>
      </c>
      <c r="AK86" s="2" t="s">
        <v>50</v>
      </c>
    </row>
    <row r="87" spans="1:37" ht="15" customHeight="1">
      <c r="A87">
        <v>85</v>
      </c>
      <c r="B87" s="2" t="s">
        <v>766</v>
      </c>
      <c r="C87" s="2" t="s">
        <v>767</v>
      </c>
      <c r="D87" s="2" t="s">
        <v>38</v>
      </c>
      <c r="E87" s="2" t="s">
        <v>39</v>
      </c>
      <c r="F87" s="2" t="s">
        <v>62</v>
      </c>
      <c r="G87" s="3">
        <v>794.82</v>
      </c>
      <c r="H87" s="4"/>
      <c r="I87" s="5">
        <v>55</v>
      </c>
      <c r="J87" s="2" t="s">
        <v>80</v>
      </c>
      <c r="K87" s="2" t="s">
        <v>949</v>
      </c>
      <c r="L87" s="2" t="s">
        <v>44</v>
      </c>
      <c r="M87" s="2" t="s">
        <v>45</v>
      </c>
      <c r="N87" s="2" t="s">
        <v>772</v>
      </c>
      <c r="O87" s="2" t="s">
        <v>157</v>
      </c>
      <c r="P87" s="2" t="s">
        <v>771</v>
      </c>
      <c r="Q87" s="2"/>
      <c r="R87" s="2" t="s">
        <v>773</v>
      </c>
      <c r="S87" s="2" t="s">
        <v>768</v>
      </c>
      <c r="T87" s="2"/>
      <c r="U87" s="2" t="s">
        <v>674</v>
      </c>
      <c r="V87" s="10" t="s">
        <v>35</v>
      </c>
      <c r="W87" s="11"/>
      <c r="X87" s="2" t="s">
        <v>675</v>
      </c>
      <c r="Y87" s="10" t="s">
        <v>37</v>
      </c>
      <c r="Z87" s="12"/>
      <c r="AA87" s="11"/>
      <c r="AB87" s="10" t="s">
        <v>769</v>
      </c>
      <c r="AC87" s="12"/>
      <c r="AD87" s="11"/>
      <c r="AE87" s="2"/>
      <c r="AF87" s="2"/>
      <c r="AG87" s="2"/>
      <c r="AH87" s="2" t="s">
        <v>770</v>
      </c>
      <c r="AI87" s="2" t="s">
        <v>61</v>
      </c>
      <c r="AJ87" s="2" t="s">
        <v>774</v>
      </c>
      <c r="AK87" s="2" t="s">
        <v>50</v>
      </c>
    </row>
    <row r="88" spans="1:37" ht="15" customHeight="1">
      <c r="A88">
        <v>86</v>
      </c>
      <c r="B88" s="2" t="s">
        <v>775</v>
      </c>
      <c r="C88" s="2" t="s">
        <v>776</v>
      </c>
      <c r="D88" s="2" t="s">
        <v>38</v>
      </c>
      <c r="E88" s="2" t="s">
        <v>39</v>
      </c>
      <c r="F88" s="2" t="s">
        <v>62</v>
      </c>
      <c r="G88" s="3">
        <v>3995</v>
      </c>
      <c r="H88" s="4"/>
      <c r="I88" s="5">
        <v>500</v>
      </c>
      <c r="J88" s="2" t="s">
        <v>91</v>
      </c>
      <c r="K88" s="2" t="s">
        <v>949</v>
      </c>
      <c r="L88" s="2" t="s">
        <v>44</v>
      </c>
      <c r="M88" s="2" t="s">
        <v>45</v>
      </c>
      <c r="N88" s="2" t="s">
        <v>785</v>
      </c>
      <c r="O88" s="2" t="s">
        <v>786</v>
      </c>
      <c r="P88" s="2" t="s">
        <v>621</v>
      </c>
      <c r="Q88" s="2"/>
      <c r="R88" s="2" t="s">
        <v>787</v>
      </c>
      <c r="S88" s="2" t="s">
        <v>777</v>
      </c>
      <c r="T88" s="2"/>
      <c r="U88" s="2" t="s">
        <v>778</v>
      </c>
      <c r="V88" s="10" t="s">
        <v>35</v>
      </c>
      <c r="W88" s="11"/>
      <c r="X88" s="2" t="s">
        <v>779</v>
      </c>
      <c r="Y88" s="10" t="s">
        <v>780</v>
      </c>
      <c r="Z88" s="12"/>
      <c r="AA88" s="11"/>
      <c r="AB88" s="10" t="s">
        <v>781</v>
      </c>
      <c r="AC88" s="12"/>
      <c r="AD88" s="11"/>
      <c r="AE88" s="2"/>
      <c r="AF88" s="2" t="s">
        <v>782</v>
      </c>
      <c r="AG88" s="2" t="s">
        <v>783</v>
      </c>
      <c r="AH88" s="2" t="s">
        <v>784</v>
      </c>
      <c r="AI88" s="2" t="s">
        <v>61</v>
      </c>
      <c r="AJ88" s="2" t="s">
        <v>788</v>
      </c>
      <c r="AK88" s="2" t="s">
        <v>50</v>
      </c>
    </row>
    <row r="89" spans="1:37" ht="15" customHeight="1">
      <c r="A89">
        <v>87</v>
      </c>
      <c r="B89" s="2" t="s">
        <v>775</v>
      </c>
      <c r="C89" s="2" t="s">
        <v>776</v>
      </c>
      <c r="D89" s="2" t="s">
        <v>38</v>
      </c>
      <c r="E89" s="2" t="s">
        <v>39</v>
      </c>
      <c r="F89" s="2" t="s">
        <v>41</v>
      </c>
      <c r="G89" s="3">
        <v>3719</v>
      </c>
      <c r="H89" s="4"/>
      <c r="I89" s="5">
        <v>1400</v>
      </c>
      <c r="J89" s="2" t="s">
        <v>91</v>
      </c>
      <c r="K89" s="2" t="s">
        <v>949</v>
      </c>
      <c r="L89" s="2" t="s">
        <v>44</v>
      </c>
      <c r="M89" s="2" t="s">
        <v>45</v>
      </c>
      <c r="N89" s="2" t="s">
        <v>789</v>
      </c>
      <c r="O89" s="2" t="s">
        <v>786</v>
      </c>
      <c r="P89" s="2" t="s">
        <v>43</v>
      </c>
      <c r="Q89" s="2"/>
      <c r="R89" s="2" t="s">
        <v>790</v>
      </c>
      <c r="S89" s="2" t="s">
        <v>777</v>
      </c>
      <c r="T89" s="2"/>
      <c r="U89" s="2" t="s">
        <v>778</v>
      </c>
      <c r="V89" s="10" t="s">
        <v>35</v>
      </c>
      <c r="W89" s="11"/>
      <c r="X89" s="2" t="s">
        <v>779</v>
      </c>
      <c r="Y89" s="10" t="s">
        <v>780</v>
      </c>
      <c r="Z89" s="12"/>
      <c r="AA89" s="11"/>
      <c r="AB89" s="10" t="s">
        <v>781</v>
      </c>
      <c r="AC89" s="12"/>
      <c r="AD89" s="11"/>
      <c r="AE89" s="2"/>
      <c r="AF89" s="2" t="s">
        <v>782</v>
      </c>
      <c r="AG89" s="2" t="s">
        <v>783</v>
      </c>
      <c r="AH89" s="2" t="s">
        <v>784</v>
      </c>
      <c r="AI89" s="2" t="s">
        <v>403</v>
      </c>
      <c r="AJ89" s="2" t="s">
        <v>791</v>
      </c>
      <c r="AK89" s="2" t="s">
        <v>50</v>
      </c>
    </row>
    <row r="90" spans="1:37" ht="15" customHeight="1">
      <c r="A90">
        <v>88</v>
      </c>
      <c r="B90" s="2" t="s">
        <v>792</v>
      </c>
      <c r="C90" s="2" t="s">
        <v>793</v>
      </c>
      <c r="D90" s="2" t="s">
        <v>38</v>
      </c>
      <c r="E90" s="2" t="s">
        <v>39</v>
      </c>
      <c r="F90" s="2" t="s">
        <v>141</v>
      </c>
      <c r="G90" s="4"/>
      <c r="H90" s="4"/>
      <c r="I90" s="4"/>
      <c r="J90" s="2" t="s">
        <v>91</v>
      </c>
      <c r="K90" s="2" t="s">
        <v>949</v>
      </c>
      <c r="L90" s="2" t="s">
        <v>44</v>
      </c>
      <c r="M90" s="2" t="s">
        <v>45</v>
      </c>
      <c r="N90" s="2" t="s">
        <v>797</v>
      </c>
      <c r="O90" s="2" t="s">
        <v>798</v>
      </c>
      <c r="P90" s="2" t="s">
        <v>232</v>
      </c>
      <c r="Q90" s="2"/>
      <c r="R90" s="2" t="s">
        <v>799</v>
      </c>
      <c r="S90" s="2" t="s">
        <v>794</v>
      </c>
      <c r="T90" s="2"/>
      <c r="U90" s="2" t="s">
        <v>516</v>
      </c>
      <c r="V90" s="10" t="s">
        <v>35</v>
      </c>
      <c r="W90" s="11"/>
      <c r="X90" s="2" t="s">
        <v>517</v>
      </c>
      <c r="Y90" s="10" t="s">
        <v>120</v>
      </c>
      <c r="Z90" s="12"/>
      <c r="AA90" s="11"/>
      <c r="AB90" s="10" t="s">
        <v>795</v>
      </c>
      <c r="AC90" s="12"/>
      <c r="AD90" s="11"/>
      <c r="AE90" s="2"/>
      <c r="AF90" s="2"/>
      <c r="AG90" s="2" t="s">
        <v>796</v>
      </c>
      <c r="AH90" s="2"/>
      <c r="AI90" s="2" t="s">
        <v>61</v>
      </c>
      <c r="AJ90" s="2" t="s">
        <v>800</v>
      </c>
      <c r="AK90" s="2" t="s">
        <v>50</v>
      </c>
    </row>
    <row r="91" spans="1:37" ht="15" customHeight="1">
      <c r="A91">
        <v>89</v>
      </c>
      <c r="B91" s="2" t="s">
        <v>801</v>
      </c>
      <c r="C91" s="2" t="s">
        <v>802</v>
      </c>
      <c r="D91" s="2" t="s">
        <v>38</v>
      </c>
      <c r="E91" s="2" t="s">
        <v>39</v>
      </c>
      <c r="F91" s="2" t="s">
        <v>62</v>
      </c>
      <c r="G91" s="3">
        <v>1380</v>
      </c>
      <c r="H91" s="4"/>
      <c r="I91" s="5">
        <v>110</v>
      </c>
      <c r="J91" s="2" t="s">
        <v>91</v>
      </c>
      <c r="K91" s="2" t="s">
        <v>949</v>
      </c>
      <c r="L91" s="2" t="s">
        <v>44</v>
      </c>
      <c r="M91" s="2" t="s">
        <v>45</v>
      </c>
      <c r="N91" s="2" t="s">
        <v>804</v>
      </c>
      <c r="O91" s="2" t="s">
        <v>697</v>
      </c>
      <c r="P91" s="2" t="s">
        <v>621</v>
      </c>
      <c r="Q91" s="2"/>
      <c r="R91" s="2" t="s">
        <v>805</v>
      </c>
      <c r="S91" s="2" t="s">
        <v>803</v>
      </c>
      <c r="T91" s="2"/>
      <c r="U91" s="2" t="s">
        <v>264</v>
      </c>
      <c r="V91" s="10" t="s">
        <v>35</v>
      </c>
      <c r="W91" s="11"/>
      <c r="X91" s="2" t="s">
        <v>265</v>
      </c>
      <c r="Y91" s="10" t="s">
        <v>120</v>
      </c>
      <c r="Z91" s="12"/>
      <c r="AA91" s="11"/>
      <c r="AB91" s="10"/>
      <c r="AC91" s="12"/>
      <c r="AD91" s="11"/>
      <c r="AE91" s="2"/>
      <c r="AF91" s="2"/>
      <c r="AG91" s="2"/>
      <c r="AH91" s="2"/>
      <c r="AI91" s="2" t="s">
        <v>61</v>
      </c>
      <c r="AJ91" s="2" t="s">
        <v>806</v>
      </c>
      <c r="AK91" s="2" t="s">
        <v>50</v>
      </c>
    </row>
    <row r="92" spans="1:37" ht="15" customHeight="1">
      <c r="A92">
        <v>90</v>
      </c>
      <c r="B92" s="2" t="s">
        <v>807</v>
      </c>
      <c r="C92" s="2" t="s">
        <v>808</v>
      </c>
      <c r="D92" s="2" t="s">
        <v>38</v>
      </c>
      <c r="E92" s="2" t="s">
        <v>39</v>
      </c>
      <c r="F92" s="2" t="s">
        <v>62</v>
      </c>
      <c r="G92" s="3">
        <v>438</v>
      </c>
      <c r="H92" s="4"/>
      <c r="I92" s="5">
        <v>30</v>
      </c>
      <c r="J92" s="2" t="s">
        <v>80</v>
      </c>
      <c r="K92" s="2" t="s">
        <v>949</v>
      </c>
      <c r="L92" s="2" t="s">
        <v>44</v>
      </c>
      <c r="M92" s="2" t="s">
        <v>45</v>
      </c>
      <c r="N92" s="2" t="s">
        <v>816</v>
      </c>
      <c r="O92" s="2" t="s">
        <v>157</v>
      </c>
      <c r="P92" s="2" t="s">
        <v>43</v>
      </c>
      <c r="Q92" s="2"/>
      <c r="R92" s="2" t="s">
        <v>817</v>
      </c>
      <c r="S92" s="2" t="s">
        <v>809</v>
      </c>
      <c r="T92" s="2"/>
      <c r="U92" s="2" t="s">
        <v>810</v>
      </c>
      <c r="V92" s="10" t="s">
        <v>35</v>
      </c>
      <c r="W92" s="11"/>
      <c r="X92" s="2" t="s">
        <v>811</v>
      </c>
      <c r="Y92" s="10" t="s">
        <v>120</v>
      </c>
      <c r="Z92" s="12"/>
      <c r="AA92" s="11"/>
      <c r="AB92" s="10" t="s">
        <v>812</v>
      </c>
      <c r="AC92" s="12"/>
      <c r="AD92" s="11"/>
      <c r="AE92" s="2"/>
      <c r="AF92" s="2" t="s">
        <v>813</v>
      </c>
      <c r="AG92" s="2" t="s">
        <v>814</v>
      </c>
      <c r="AH92" s="2" t="s">
        <v>815</v>
      </c>
      <c r="AI92" s="2" t="s">
        <v>61</v>
      </c>
      <c r="AJ92" s="2" t="s">
        <v>818</v>
      </c>
      <c r="AK92" s="2" t="s">
        <v>50</v>
      </c>
    </row>
    <row r="93" spans="1:37" ht="15" customHeight="1">
      <c r="A93">
        <v>91</v>
      </c>
      <c r="B93" s="2" t="s">
        <v>819</v>
      </c>
      <c r="C93" s="2" t="s">
        <v>69</v>
      </c>
      <c r="D93" s="2" t="s">
        <v>38</v>
      </c>
      <c r="E93" s="2" t="s">
        <v>39</v>
      </c>
      <c r="F93" s="2" t="s">
        <v>41</v>
      </c>
      <c r="G93" s="3">
        <v>0</v>
      </c>
      <c r="H93" s="4"/>
      <c r="I93" s="5">
        <v>3000</v>
      </c>
      <c r="J93" s="2" t="s">
        <v>91</v>
      </c>
      <c r="K93" s="2" t="s">
        <v>951</v>
      </c>
      <c r="L93" s="2" t="s">
        <v>44</v>
      </c>
      <c r="M93" s="2" t="s">
        <v>45</v>
      </c>
      <c r="N93" s="2" t="s">
        <v>825</v>
      </c>
      <c r="O93" s="2" t="s">
        <v>93</v>
      </c>
      <c r="P93" s="2"/>
      <c r="Q93" s="2"/>
      <c r="R93" s="2"/>
      <c r="S93" s="2" t="s">
        <v>820</v>
      </c>
      <c r="T93" s="2"/>
      <c r="U93" s="2" t="s">
        <v>821</v>
      </c>
      <c r="V93" s="10" t="s">
        <v>822</v>
      </c>
      <c r="W93" s="11"/>
      <c r="X93" s="2"/>
      <c r="Y93" s="10" t="s">
        <v>37</v>
      </c>
      <c r="Z93" s="12"/>
      <c r="AA93" s="11"/>
      <c r="AB93" s="10" t="s">
        <v>823</v>
      </c>
      <c r="AC93" s="12"/>
      <c r="AD93" s="11"/>
      <c r="AE93" s="2"/>
      <c r="AF93" s="2"/>
      <c r="AG93" s="2" t="s">
        <v>824</v>
      </c>
      <c r="AH93" s="2"/>
      <c r="AI93" s="2" t="s">
        <v>61</v>
      </c>
      <c r="AJ93" s="2" t="s">
        <v>826</v>
      </c>
      <c r="AK93" s="2" t="s">
        <v>50</v>
      </c>
    </row>
    <row r="94" spans="1:37" ht="15" customHeight="1">
      <c r="A94">
        <v>92</v>
      </c>
      <c r="B94" s="2" t="s">
        <v>827</v>
      </c>
      <c r="C94" s="2" t="s">
        <v>69</v>
      </c>
      <c r="D94" s="2" t="s">
        <v>38</v>
      </c>
      <c r="E94" s="2" t="s">
        <v>39</v>
      </c>
      <c r="F94" s="2" t="s">
        <v>41</v>
      </c>
      <c r="G94" s="3">
        <v>1500</v>
      </c>
      <c r="H94" s="3">
        <v>150</v>
      </c>
      <c r="I94" s="5">
        <v>500</v>
      </c>
      <c r="J94" s="2" t="s">
        <v>91</v>
      </c>
      <c r="K94" s="2" t="s">
        <v>949</v>
      </c>
      <c r="L94" s="2" t="s">
        <v>44</v>
      </c>
      <c r="M94" s="2" t="s">
        <v>45</v>
      </c>
      <c r="N94" s="2" t="s">
        <v>835</v>
      </c>
      <c r="O94" s="2" t="s">
        <v>836</v>
      </c>
      <c r="P94" s="2" t="s">
        <v>222</v>
      </c>
      <c r="Q94" s="2"/>
      <c r="R94" s="2" t="s">
        <v>837</v>
      </c>
      <c r="S94" s="2" t="s">
        <v>828</v>
      </c>
      <c r="T94" s="2"/>
      <c r="U94" s="2" t="s">
        <v>829</v>
      </c>
      <c r="V94" s="10" t="s">
        <v>830</v>
      </c>
      <c r="W94" s="11"/>
      <c r="X94" s="2" t="s">
        <v>831</v>
      </c>
      <c r="Y94" s="10" t="s">
        <v>37</v>
      </c>
      <c r="Z94" s="12"/>
      <c r="AA94" s="11"/>
      <c r="AB94" s="10" t="s">
        <v>832</v>
      </c>
      <c r="AC94" s="12"/>
      <c r="AD94" s="11"/>
      <c r="AE94" s="2"/>
      <c r="AF94" s="2" t="s">
        <v>833</v>
      </c>
      <c r="AG94" s="2" t="s">
        <v>834</v>
      </c>
      <c r="AH94" s="2"/>
      <c r="AI94" s="2" t="s">
        <v>403</v>
      </c>
      <c r="AJ94" s="2" t="s">
        <v>838</v>
      </c>
      <c r="AK94" s="2" t="s">
        <v>50</v>
      </c>
    </row>
    <row r="95" spans="1:37" ht="15" customHeight="1">
      <c r="A95">
        <v>93</v>
      </c>
      <c r="B95" s="2" t="s">
        <v>839</v>
      </c>
      <c r="C95" s="2" t="s">
        <v>840</v>
      </c>
      <c r="D95" s="2" t="s">
        <v>110</v>
      </c>
      <c r="E95" s="2" t="s">
        <v>39</v>
      </c>
      <c r="F95" s="2" t="s">
        <v>41</v>
      </c>
      <c r="G95" s="3">
        <v>2829</v>
      </c>
      <c r="H95" s="4"/>
      <c r="I95" s="5">
        <v>1000</v>
      </c>
      <c r="J95" s="2" t="s">
        <v>91</v>
      </c>
      <c r="K95" s="2" t="s">
        <v>949</v>
      </c>
      <c r="L95" s="2" t="s">
        <v>44</v>
      </c>
      <c r="M95" s="2" t="s">
        <v>45</v>
      </c>
      <c r="N95" s="2" t="s">
        <v>844</v>
      </c>
      <c r="O95" s="2" t="s">
        <v>309</v>
      </c>
      <c r="P95" s="2" t="s">
        <v>204</v>
      </c>
      <c r="Q95" s="2"/>
      <c r="R95" s="2" t="s">
        <v>845</v>
      </c>
      <c r="S95" s="2" t="s">
        <v>841</v>
      </c>
      <c r="T95" s="2"/>
      <c r="U95" s="2" t="s">
        <v>316</v>
      </c>
      <c r="V95" s="10" t="s">
        <v>35</v>
      </c>
      <c r="W95" s="11"/>
      <c r="X95" s="2" t="s">
        <v>317</v>
      </c>
      <c r="Y95" s="10" t="s">
        <v>79</v>
      </c>
      <c r="Z95" s="12"/>
      <c r="AA95" s="11"/>
      <c r="AB95" s="10" t="s">
        <v>842</v>
      </c>
      <c r="AC95" s="12"/>
      <c r="AD95" s="11"/>
      <c r="AE95" s="2"/>
      <c r="AF95" s="2"/>
      <c r="AG95" s="2" t="s">
        <v>843</v>
      </c>
      <c r="AH95" s="2"/>
      <c r="AI95" s="2" t="s">
        <v>403</v>
      </c>
      <c r="AJ95" s="2" t="s">
        <v>846</v>
      </c>
      <c r="AK95" s="2" t="s">
        <v>50</v>
      </c>
    </row>
    <row r="96" spans="1:37" ht="15" customHeight="1">
      <c r="A96">
        <v>94</v>
      </c>
      <c r="B96" s="2" t="s">
        <v>847</v>
      </c>
      <c r="C96" s="2" t="s">
        <v>848</v>
      </c>
      <c r="D96" s="2" t="s">
        <v>38</v>
      </c>
      <c r="E96" s="2" t="s">
        <v>39</v>
      </c>
      <c r="F96" s="2" t="s">
        <v>62</v>
      </c>
      <c r="G96" s="3">
        <v>0</v>
      </c>
      <c r="H96" s="4"/>
      <c r="I96" s="5">
        <v>80000</v>
      </c>
      <c r="J96" s="2" t="s">
        <v>42</v>
      </c>
      <c r="K96" s="2" t="s">
        <v>952</v>
      </c>
      <c r="L96" s="2" t="s">
        <v>44</v>
      </c>
      <c r="M96" s="2" t="s">
        <v>45</v>
      </c>
      <c r="N96" s="2" t="s">
        <v>851</v>
      </c>
      <c r="O96" s="2" t="s">
        <v>852</v>
      </c>
      <c r="P96" s="2" t="s">
        <v>850</v>
      </c>
      <c r="Q96" s="2"/>
      <c r="R96" s="2"/>
      <c r="S96" s="2" t="s">
        <v>849</v>
      </c>
      <c r="T96" s="2"/>
      <c r="U96" s="2" t="s">
        <v>86</v>
      </c>
      <c r="V96" s="10" t="s">
        <v>35</v>
      </c>
      <c r="W96" s="11"/>
      <c r="X96" s="2" t="s">
        <v>417</v>
      </c>
      <c r="Y96" s="10" t="s">
        <v>141</v>
      </c>
      <c r="Z96" s="12"/>
      <c r="AA96" s="11"/>
      <c r="AB96" s="10"/>
      <c r="AC96" s="12"/>
      <c r="AD96" s="11"/>
      <c r="AE96" s="2"/>
      <c r="AF96" s="2"/>
      <c r="AG96" s="2"/>
      <c r="AH96" s="2"/>
      <c r="AI96" s="2" t="s">
        <v>61</v>
      </c>
      <c r="AJ96" s="2" t="s">
        <v>853</v>
      </c>
      <c r="AK96" s="2" t="s">
        <v>50</v>
      </c>
    </row>
    <row r="97" spans="1:37" ht="15" customHeight="1">
      <c r="A97">
        <v>95</v>
      </c>
      <c r="B97" s="2" t="s">
        <v>854</v>
      </c>
      <c r="C97" s="2" t="s">
        <v>855</v>
      </c>
      <c r="D97" s="2" t="s">
        <v>38</v>
      </c>
      <c r="E97" s="2" t="s">
        <v>39</v>
      </c>
      <c r="F97" s="2" t="s">
        <v>62</v>
      </c>
      <c r="G97" s="3">
        <v>3470</v>
      </c>
      <c r="H97" s="4"/>
      <c r="I97" s="5">
        <v>250</v>
      </c>
      <c r="J97" s="2" t="s">
        <v>91</v>
      </c>
      <c r="K97" s="2" t="s">
        <v>949</v>
      </c>
      <c r="L97" s="2" t="s">
        <v>44</v>
      </c>
      <c r="M97" s="2" t="s">
        <v>45</v>
      </c>
      <c r="N97" s="2" t="s">
        <v>860</v>
      </c>
      <c r="O97" s="2" t="s">
        <v>65</v>
      </c>
      <c r="P97" s="2" t="s">
        <v>63</v>
      </c>
      <c r="Q97" s="2"/>
      <c r="R97" s="2" t="s">
        <v>861</v>
      </c>
      <c r="S97" s="2" t="s">
        <v>856</v>
      </c>
      <c r="T97" s="2"/>
      <c r="U97" s="2" t="s">
        <v>686</v>
      </c>
      <c r="V97" s="10" t="s">
        <v>35</v>
      </c>
      <c r="W97" s="11"/>
      <c r="X97" s="2" t="s">
        <v>660</v>
      </c>
      <c r="Y97" s="10" t="s">
        <v>120</v>
      </c>
      <c r="Z97" s="12"/>
      <c r="AA97" s="11"/>
      <c r="AB97" s="10" t="s">
        <v>854</v>
      </c>
      <c r="AC97" s="12"/>
      <c r="AD97" s="11"/>
      <c r="AE97" s="2"/>
      <c r="AF97" s="2" t="s">
        <v>857</v>
      </c>
      <c r="AG97" s="2" t="s">
        <v>858</v>
      </c>
      <c r="AH97" s="2" t="s">
        <v>859</v>
      </c>
      <c r="AI97" s="2" t="s">
        <v>61</v>
      </c>
      <c r="AJ97" s="2" t="s">
        <v>862</v>
      </c>
      <c r="AK97" s="2" t="s">
        <v>50</v>
      </c>
    </row>
    <row r="98" spans="1:37" ht="15" customHeight="1">
      <c r="A98">
        <v>96</v>
      </c>
      <c r="B98" s="2" t="s">
        <v>854</v>
      </c>
      <c r="C98" s="2" t="s">
        <v>855</v>
      </c>
      <c r="D98" s="2" t="s">
        <v>110</v>
      </c>
      <c r="E98" s="2" t="s">
        <v>39</v>
      </c>
      <c r="F98" s="2" t="s">
        <v>241</v>
      </c>
      <c r="G98" s="3">
        <v>689.98</v>
      </c>
      <c r="H98" s="4"/>
      <c r="I98" s="5">
        <v>55</v>
      </c>
      <c r="J98" s="2" t="s">
        <v>91</v>
      </c>
      <c r="K98" s="2" t="s">
        <v>949</v>
      </c>
      <c r="L98" s="2" t="s">
        <v>44</v>
      </c>
      <c r="M98" s="2" t="s">
        <v>45</v>
      </c>
      <c r="N98" s="2" t="s">
        <v>863</v>
      </c>
      <c r="O98" s="2" t="s">
        <v>864</v>
      </c>
      <c r="P98" s="2" t="s">
        <v>347</v>
      </c>
      <c r="Q98" s="2"/>
      <c r="R98" s="2" t="s">
        <v>865</v>
      </c>
      <c r="S98" s="2" t="s">
        <v>856</v>
      </c>
      <c r="T98" s="2"/>
      <c r="U98" s="2" t="s">
        <v>686</v>
      </c>
      <c r="V98" s="10" t="s">
        <v>35</v>
      </c>
      <c r="W98" s="11"/>
      <c r="X98" s="2" t="s">
        <v>660</v>
      </c>
      <c r="Y98" s="10" t="s">
        <v>120</v>
      </c>
      <c r="Z98" s="12"/>
      <c r="AA98" s="11"/>
      <c r="AB98" s="10" t="s">
        <v>854</v>
      </c>
      <c r="AC98" s="12"/>
      <c r="AD98" s="11"/>
      <c r="AE98" s="2"/>
      <c r="AF98" s="2" t="s">
        <v>857</v>
      </c>
      <c r="AG98" s="2" t="s">
        <v>858</v>
      </c>
      <c r="AH98" s="2" t="s">
        <v>859</v>
      </c>
      <c r="AI98" s="2" t="s">
        <v>61</v>
      </c>
      <c r="AJ98" s="2" t="s">
        <v>866</v>
      </c>
      <c r="AK98" s="2" t="s">
        <v>50</v>
      </c>
    </row>
    <row r="99" spans="1:37" ht="15" customHeight="1">
      <c r="A99">
        <v>97</v>
      </c>
      <c r="B99" s="2" t="s">
        <v>867</v>
      </c>
      <c r="C99" s="2" t="s">
        <v>868</v>
      </c>
      <c r="D99" s="2"/>
      <c r="E99" s="2" t="s">
        <v>39</v>
      </c>
      <c r="F99" s="2" t="s">
        <v>41</v>
      </c>
      <c r="G99" s="4"/>
      <c r="H99" s="4"/>
      <c r="I99" s="5">
        <v>10000</v>
      </c>
      <c r="J99" s="2" t="s">
        <v>91</v>
      </c>
      <c r="K99" s="2" t="s">
        <v>952</v>
      </c>
      <c r="L99" s="2" t="s">
        <v>44</v>
      </c>
      <c r="M99" s="2" t="s">
        <v>45</v>
      </c>
      <c r="N99" s="2" t="s">
        <v>870</v>
      </c>
      <c r="O99" s="2" t="s">
        <v>157</v>
      </c>
      <c r="P99" s="2"/>
      <c r="Q99" s="2"/>
      <c r="R99" s="2"/>
      <c r="S99" s="2" t="s">
        <v>869</v>
      </c>
      <c r="T99" s="2"/>
      <c r="U99" s="2" t="s">
        <v>686</v>
      </c>
      <c r="V99" s="10" t="s">
        <v>35</v>
      </c>
      <c r="W99" s="11"/>
      <c r="X99" s="2" t="s">
        <v>660</v>
      </c>
      <c r="Y99" s="10" t="s">
        <v>131</v>
      </c>
      <c r="Z99" s="12"/>
      <c r="AA99" s="11"/>
      <c r="AB99" s="10"/>
      <c r="AC99" s="12"/>
      <c r="AD99" s="11"/>
      <c r="AE99" s="2"/>
      <c r="AF99" s="2"/>
      <c r="AG99" s="2"/>
      <c r="AH99" s="2"/>
      <c r="AI99" s="2" t="s">
        <v>61</v>
      </c>
      <c r="AJ99" s="2" t="s">
        <v>871</v>
      </c>
      <c r="AK99" s="2" t="s">
        <v>50</v>
      </c>
    </row>
    <row r="100" spans="1:37" ht="15" customHeight="1">
      <c r="A100">
        <v>98</v>
      </c>
      <c r="B100" s="2" t="s">
        <v>872</v>
      </c>
      <c r="C100" s="2" t="s">
        <v>69</v>
      </c>
      <c r="D100" s="2" t="s">
        <v>38</v>
      </c>
      <c r="E100" s="2" t="s">
        <v>39</v>
      </c>
      <c r="F100" s="2" t="s">
        <v>62</v>
      </c>
      <c r="G100" s="3">
        <v>0</v>
      </c>
      <c r="H100" s="4"/>
      <c r="I100" s="5">
        <v>2500</v>
      </c>
      <c r="J100" s="2" t="s">
        <v>91</v>
      </c>
      <c r="K100" s="2" t="s">
        <v>952</v>
      </c>
      <c r="L100" s="2" t="s">
        <v>44</v>
      </c>
      <c r="M100" s="2" t="s">
        <v>45</v>
      </c>
      <c r="N100" s="2" t="s">
        <v>878</v>
      </c>
      <c r="O100" s="2" t="s">
        <v>471</v>
      </c>
      <c r="P100" s="2"/>
      <c r="Q100" s="2"/>
      <c r="R100" s="2"/>
      <c r="S100" s="2" t="s">
        <v>873</v>
      </c>
      <c r="T100" s="2"/>
      <c r="U100" s="2" t="s">
        <v>874</v>
      </c>
      <c r="V100" s="10" t="s">
        <v>35</v>
      </c>
      <c r="W100" s="11"/>
      <c r="X100" s="2" t="s">
        <v>875</v>
      </c>
      <c r="Y100" s="10" t="s">
        <v>37</v>
      </c>
      <c r="Z100" s="12"/>
      <c r="AA100" s="11"/>
      <c r="AB100" s="10" t="s">
        <v>876</v>
      </c>
      <c r="AC100" s="12"/>
      <c r="AD100" s="11"/>
      <c r="AE100" s="2"/>
      <c r="AF100" s="2"/>
      <c r="AG100" s="2" t="s">
        <v>877</v>
      </c>
      <c r="AH100" s="2"/>
      <c r="AI100" s="2" t="s">
        <v>61</v>
      </c>
      <c r="AJ100" s="2" t="s">
        <v>879</v>
      </c>
      <c r="AK100" s="2" t="s">
        <v>50</v>
      </c>
    </row>
    <row r="101" spans="1:37" ht="15" customHeight="1">
      <c r="A101">
        <v>99</v>
      </c>
      <c r="B101" s="2" t="s">
        <v>880</v>
      </c>
      <c r="C101" s="2" t="s">
        <v>69</v>
      </c>
      <c r="D101" s="2"/>
      <c r="E101" s="2" t="s">
        <v>39</v>
      </c>
      <c r="F101" s="2" t="s">
        <v>62</v>
      </c>
      <c r="G101" s="4"/>
      <c r="H101" s="4"/>
      <c r="I101" s="5">
        <v>5000</v>
      </c>
      <c r="J101" s="2" t="s">
        <v>91</v>
      </c>
      <c r="K101" s="2" t="s">
        <v>952</v>
      </c>
      <c r="L101" s="2" t="s">
        <v>44</v>
      </c>
      <c r="M101" s="2" t="s">
        <v>45</v>
      </c>
      <c r="N101" s="2" t="s">
        <v>882</v>
      </c>
      <c r="O101" s="2" t="s">
        <v>471</v>
      </c>
      <c r="P101" s="2"/>
      <c r="Q101" s="2"/>
      <c r="R101" s="2"/>
      <c r="S101" s="2" t="s">
        <v>881</v>
      </c>
      <c r="T101" s="2"/>
      <c r="U101" s="2" t="s">
        <v>829</v>
      </c>
      <c r="V101" s="10" t="s">
        <v>273</v>
      </c>
      <c r="W101" s="11"/>
      <c r="X101" s="2" t="s">
        <v>831</v>
      </c>
      <c r="Y101" s="10" t="s">
        <v>37</v>
      </c>
      <c r="Z101" s="12"/>
      <c r="AA101" s="11"/>
      <c r="AB101" s="10"/>
      <c r="AC101" s="12"/>
      <c r="AD101" s="11"/>
      <c r="AE101" s="2"/>
      <c r="AF101" s="2"/>
      <c r="AG101" s="2"/>
      <c r="AH101" s="2"/>
      <c r="AI101" s="2" t="s">
        <v>61</v>
      </c>
      <c r="AJ101" s="2" t="s">
        <v>883</v>
      </c>
      <c r="AK101" s="2" t="s">
        <v>50</v>
      </c>
    </row>
    <row r="102" spans="1:37" ht="15" customHeight="1">
      <c r="A102">
        <v>100</v>
      </c>
      <c r="B102" s="2" t="s">
        <v>884</v>
      </c>
      <c r="C102" s="2" t="s">
        <v>885</v>
      </c>
      <c r="D102" s="2" t="s">
        <v>38</v>
      </c>
      <c r="E102" s="2" t="s">
        <v>39</v>
      </c>
      <c r="F102" s="2" t="s">
        <v>62</v>
      </c>
      <c r="G102" s="3">
        <v>500000</v>
      </c>
      <c r="H102" s="3">
        <v>60000</v>
      </c>
      <c r="I102" s="5">
        <v>75000</v>
      </c>
      <c r="J102" s="2" t="s">
        <v>42</v>
      </c>
      <c r="K102" s="2" t="s">
        <v>950</v>
      </c>
      <c r="L102" s="2" t="s">
        <v>44</v>
      </c>
      <c r="M102" s="2" t="s">
        <v>45</v>
      </c>
      <c r="N102" s="2" t="s">
        <v>889</v>
      </c>
      <c r="O102" s="2" t="s">
        <v>93</v>
      </c>
      <c r="P102" s="2"/>
      <c r="Q102" s="2" t="s">
        <v>890</v>
      </c>
      <c r="R102" s="2"/>
      <c r="S102" s="2" t="s">
        <v>886</v>
      </c>
      <c r="T102" s="2"/>
      <c r="U102" s="2" t="s">
        <v>887</v>
      </c>
      <c r="V102" s="10" t="s">
        <v>35</v>
      </c>
      <c r="W102" s="11"/>
      <c r="X102" s="2" t="s">
        <v>888</v>
      </c>
      <c r="Y102" s="10" t="s">
        <v>79</v>
      </c>
      <c r="Z102" s="12"/>
      <c r="AA102" s="11"/>
      <c r="AB102" s="10"/>
      <c r="AC102" s="12"/>
      <c r="AD102" s="11"/>
      <c r="AE102" s="2"/>
      <c r="AF102" s="2"/>
      <c r="AG102" s="2"/>
      <c r="AH102" s="2"/>
      <c r="AI102" s="2" t="s">
        <v>61</v>
      </c>
      <c r="AJ102" s="2" t="s">
        <v>891</v>
      </c>
      <c r="AK102" s="2"/>
    </row>
    <row r="103" spans="1:37" ht="15" customHeight="1">
      <c r="A103">
        <v>101</v>
      </c>
      <c r="B103" s="2" t="s">
        <v>892</v>
      </c>
      <c r="C103" s="2" t="s">
        <v>893</v>
      </c>
      <c r="D103" s="2" t="s">
        <v>38</v>
      </c>
      <c r="E103" s="2" t="s">
        <v>39</v>
      </c>
      <c r="F103" s="2" t="s">
        <v>41</v>
      </c>
      <c r="G103" s="4"/>
      <c r="H103" s="4"/>
      <c r="I103" s="4"/>
      <c r="J103" s="2" t="s">
        <v>91</v>
      </c>
      <c r="K103" s="2" t="s">
        <v>949</v>
      </c>
      <c r="L103" s="2" t="s">
        <v>44</v>
      </c>
      <c r="M103" s="2" t="s">
        <v>45</v>
      </c>
      <c r="N103" s="2" t="s">
        <v>895</v>
      </c>
      <c r="O103" s="2" t="s">
        <v>557</v>
      </c>
      <c r="P103" s="2"/>
      <c r="Q103" s="2"/>
      <c r="R103" s="2" t="s">
        <v>896</v>
      </c>
      <c r="S103" s="2" t="s">
        <v>894</v>
      </c>
      <c r="T103" s="2"/>
      <c r="U103" s="2" t="s">
        <v>54</v>
      </c>
      <c r="V103" s="10" t="s">
        <v>35</v>
      </c>
      <c r="W103" s="11"/>
      <c r="X103" s="2" t="s">
        <v>55</v>
      </c>
      <c r="Y103" s="10" t="s">
        <v>141</v>
      </c>
      <c r="Z103" s="12"/>
      <c r="AA103" s="11"/>
      <c r="AB103" s="10"/>
      <c r="AC103" s="12"/>
      <c r="AD103" s="11"/>
      <c r="AE103" s="2"/>
      <c r="AF103" s="2"/>
      <c r="AG103" s="2"/>
      <c r="AH103" s="2"/>
      <c r="AI103" s="2" t="s">
        <v>231</v>
      </c>
      <c r="AJ103" s="2" t="s">
        <v>897</v>
      </c>
      <c r="AK103" s="2" t="s">
        <v>50</v>
      </c>
    </row>
    <row r="104" spans="1:37" ht="15" customHeight="1">
      <c r="A104">
        <v>102</v>
      </c>
      <c r="B104" s="2" t="s">
        <v>898</v>
      </c>
      <c r="C104" s="2" t="s">
        <v>69</v>
      </c>
      <c r="D104" s="2" t="s">
        <v>38</v>
      </c>
      <c r="E104" s="2" t="s">
        <v>39</v>
      </c>
      <c r="F104" s="2" t="s">
        <v>41</v>
      </c>
      <c r="G104" s="3">
        <v>0</v>
      </c>
      <c r="H104" s="4"/>
      <c r="I104" s="5">
        <v>8000</v>
      </c>
      <c r="J104" s="2" t="s">
        <v>91</v>
      </c>
      <c r="K104" s="2" t="s">
        <v>951</v>
      </c>
      <c r="L104" s="2" t="s">
        <v>44</v>
      </c>
      <c r="M104" s="2" t="s">
        <v>45</v>
      </c>
      <c r="N104" s="2" t="s">
        <v>904</v>
      </c>
      <c r="O104" s="2" t="s">
        <v>93</v>
      </c>
      <c r="P104" s="2"/>
      <c r="Q104" s="2"/>
      <c r="R104" s="2"/>
      <c r="S104" s="2" t="s">
        <v>899</v>
      </c>
      <c r="T104" s="2"/>
      <c r="U104" s="2" t="s">
        <v>297</v>
      </c>
      <c r="V104" s="10" t="s">
        <v>35</v>
      </c>
      <c r="W104" s="11"/>
      <c r="X104" s="2" t="s">
        <v>638</v>
      </c>
      <c r="Y104" s="10" t="s">
        <v>131</v>
      </c>
      <c r="Z104" s="12"/>
      <c r="AA104" s="11"/>
      <c r="AB104" s="10" t="s">
        <v>900</v>
      </c>
      <c r="AC104" s="12"/>
      <c r="AD104" s="11"/>
      <c r="AE104" s="2"/>
      <c r="AF104" s="2" t="s">
        <v>901</v>
      </c>
      <c r="AG104" s="2" t="s">
        <v>902</v>
      </c>
      <c r="AH104" s="2" t="s">
        <v>903</v>
      </c>
      <c r="AI104" s="2" t="s">
        <v>61</v>
      </c>
      <c r="AJ104" s="2" t="s">
        <v>905</v>
      </c>
      <c r="AK104" s="2" t="s">
        <v>50</v>
      </c>
    </row>
    <row r="105" spans="1:37" ht="15" customHeight="1">
      <c r="A105">
        <v>103</v>
      </c>
      <c r="B105" s="2" t="s">
        <v>906</v>
      </c>
      <c r="C105" s="2" t="s">
        <v>907</v>
      </c>
      <c r="D105" s="2" t="s">
        <v>110</v>
      </c>
      <c r="E105" s="2" t="s">
        <v>39</v>
      </c>
      <c r="F105" s="2" t="s">
        <v>346</v>
      </c>
      <c r="G105" s="3">
        <v>35</v>
      </c>
      <c r="H105" s="4"/>
      <c r="I105" s="5">
        <v>5</v>
      </c>
      <c r="J105" s="2" t="s">
        <v>80</v>
      </c>
      <c r="K105" s="2" t="s">
        <v>949</v>
      </c>
      <c r="L105" s="2" t="s">
        <v>44</v>
      </c>
      <c r="M105" s="2" t="s">
        <v>45</v>
      </c>
      <c r="N105" s="2" t="s">
        <v>909</v>
      </c>
      <c r="O105" s="2" t="s">
        <v>157</v>
      </c>
      <c r="P105" s="2" t="s">
        <v>47</v>
      </c>
      <c r="Q105" s="2"/>
      <c r="R105" s="2" t="s">
        <v>910</v>
      </c>
      <c r="S105" s="2" t="s">
        <v>908</v>
      </c>
      <c r="T105" s="2"/>
      <c r="U105" s="2" t="s">
        <v>264</v>
      </c>
      <c r="V105" s="10" t="s">
        <v>35</v>
      </c>
      <c r="W105" s="11"/>
      <c r="X105" s="2" t="s">
        <v>265</v>
      </c>
      <c r="Y105" s="10" t="s">
        <v>141</v>
      </c>
      <c r="Z105" s="12"/>
      <c r="AA105" s="11"/>
      <c r="AB105" s="10"/>
      <c r="AC105" s="12"/>
      <c r="AD105" s="11"/>
      <c r="AE105" s="2"/>
      <c r="AF105" s="2"/>
      <c r="AG105" s="2"/>
      <c r="AH105" s="2"/>
      <c r="AI105" s="2" t="s">
        <v>61</v>
      </c>
      <c r="AJ105" s="2" t="s">
        <v>911</v>
      </c>
      <c r="AK105" s="2" t="s">
        <v>50</v>
      </c>
    </row>
    <row r="106" spans="1:37" ht="15" customHeight="1">
      <c r="A106">
        <v>104</v>
      </c>
      <c r="B106" s="2" t="s">
        <v>912</v>
      </c>
      <c r="C106" s="2" t="s">
        <v>913</v>
      </c>
      <c r="D106" s="2" t="s">
        <v>38</v>
      </c>
      <c r="E106" s="2" t="s">
        <v>39</v>
      </c>
      <c r="F106" s="2" t="s">
        <v>62</v>
      </c>
      <c r="G106" s="3">
        <v>0</v>
      </c>
      <c r="H106" s="4"/>
      <c r="I106" s="5">
        <v>10000</v>
      </c>
      <c r="J106" s="2" t="s">
        <v>80</v>
      </c>
      <c r="K106" s="2" t="s">
        <v>951</v>
      </c>
      <c r="L106" s="2" t="s">
        <v>44</v>
      </c>
      <c r="M106" s="2" t="s">
        <v>45</v>
      </c>
      <c r="N106" s="2" t="s">
        <v>915</v>
      </c>
      <c r="O106" s="2" t="s">
        <v>82</v>
      </c>
      <c r="P106" s="2"/>
      <c r="Q106" s="2"/>
      <c r="R106" s="2"/>
      <c r="S106" s="2" t="s">
        <v>914</v>
      </c>
      <c r="T106" s="2"/>
      <c r="U106" s="2" t="s">
        <v>264</v>
      </c>
      <c r="V106" s="10" t="s">
        <v>35</v>
      </c>
      <c r="W106" s="11"/>
      <c r="X106" s="2" t="s">
        <v>265</v>
      </c>
      <c r="Y106" s="10" t="s">
        <v>780</v>
      </c>
      <c r="Z106" s="12"/>
      <c r="AA106" s="11"/>
      <c r="AB106" s="10"/>
      <c r="AC106" s="12"/>
      <c r="AD106" s="11"/>
      <c r="AE106" s="2"/>
      <c r="AF106" s="2"/>
      <c r="AG106" s="2"/>
      <c r="AH106" s="2"/>
      <c r="AI106" s="2" t="s">
        <v>61</v>
      </c>
      <c r="AJ106" s="2" t="s">
        <v>916</v>
      </c>
      <c r="AK106" s="2" t="s">
        <v>50</v>
      </c>
    </row>
    <row r="107" spans="1:37" ht="15" customHeight="1">
      <c r="A107">
        <v>105</v>
      </c>
      <c r="B107" s="2" t="s">
        <v>917</v>
      </c>
      <c r="C107" s="2" t="s">
        <v>918</v>
      </c>
      <c r="D107" s="2" t="s">
        <v>38</v>
      </c>
      <c r="E107" s="2" t="s">
        <v>39</v>
      </c>
      <c r="F107" s="2" t="s">
        <v>62</v>
      </c>
      <c r="G107" s="3">
        <v>60000</v>
      </c>
      <c r="H107" s="3">
        <v>7000</v>
      </c>
      <c r="I107" s="5">
        <v>7000</v>
      </c>
      <c r="J107" s="2" t="s">
        <v>80</v>
      </c>
      <c r="K107" s="2" t="s">
        <v>949</v>
      </c>
      <c r="L107" s="2" t="s">
        <v>44</v>
      </c>
      <c r="M107" s="2" t="s">
        <v>45</v>
      </c>
      <c r="N107" s="2" t="s">
        <v>923</v>
      </c>
      <c r="O107" s="2" t="s">
        <v>924</v>
      </c>
      <c r="P107" s="2" t="s">
        <v>922</v>
      </c>
      <c r="Q107" s="2" t="s">
        <v>925</v>
      </c>
      <c r="R107" s="2"/>
      <c r="S107" s="2" t="s">
        <v>919</v>
      </c>
      <c r="T107" s="2"/>
      <c r="U107" s="2" t="s">
        <v>920</v>
      </c>
      <c r="V107" s="10" t="s">
        <v>35</v>
      </c>
      <c r="W107" s="11"/>
      <c r="X107" s="2" t="s">
        <v>921</v>
      </c>
      <c r="Y107" s="10" t="s">
        <v>37</v>
      </c>
      <c r="Z107" s="12"/>
      <c r="AA107" s="11"/>
      <c r="AB107" s="10"/>
      <c r="AC107" s="12"/>
      <c r="AD107" s="11"/>
      <c r="AE107" s="2"/>
      <c r="AF107" s="2"/>
      <c r="AG107" s="2"/>
      <c r="AH107" s="2"/>
      <c r="AI107" s="2" t="s">
        <v>61</v>
      </c>
      <c r="AJ107" s="2" t="s">
        <v>926</v>
      </c>
      <c r="AK107" s="2"/>
    </row>
    <row r="108" spans="1:37" ht="15" customHeight="1">
      <c r="A108">
        <v>106</v>
      </c>
      <c r="B108" s="2" t="s">
        <v>927</v>
      </c>
      <c r="C108" s="2" t="s">
        <v>928</v>
      </c>
      <c r="D108" s="2" t="s">
        <v>110</v>
      </c>
      <c r="E108" s="2" t="s">
        <v>39</v>
      </c>
      <c r="F108" s="2" t="s">
        <v>41</v>
      </c>
      <c r="G108" s="3">
        <v>554</v>
      </c>
      <c r="H108" s="4"/>
      <c r="I108" s="5">
        <v>220</v>
      </c>
      <c r="J108" s="2" t="s">
        <v>91</v>
      </c>
      <c r="K108" s="2" t="s">
        <v>949</v>
      </c>
      <c r="L108" s="2" t="s">
        <v>44</v>
      </c>
      <c r="M108" s="2" t="s">
        <v>45</v>
      </c>
      <c r="N108" s="2" t="s">
        <v>936</v>
      </c>
      <c r="O108" s="2" t="s">
        <v>937</v>
      </c>
      <c r="P108" s="2" t="s">
        <v>935</v>
      </c>
      <c r="Q108" s="2"/>
      <c r="R108" s="2" t="s">
        <v>938</v>
      </c>
      <c r="S108" s="2" t="s">
        <v>929</v>
      </c>
      <c r="T108" s="2"/>
      <c r="U108" s="2" t="s">
        <v>930</v>
      </c>
      <c r="V108" s="10" t="s">
        <v>35</v>
      </c>
      <c r="W108" s="11"/>
      <c r="X108" s="2" t="s">
        <v>931</v>
      </c>
      <c r="Y108" s="10" t="s">
        <v>141</v>
      </c>
      <c r="Z108" s="12"/>
      <c r="AA108" s="11"/>
      <c r="AB108" s="10" t="s">
        <v>932</v>
      </c>
      <c r="AC108" s="12"/>
      <c r="AD108" s="11"/>
      <c r="AE108" s="2"/>
      <c r="AF108" s="2"/>
      <c r="AG108" s="2" t="s">
        <v>933</v>
      </c>
      <c r="AH108" s="2" t="s">
        <v>934</v>
      </c>
      <c r="AI108" s="2" t="s">
        <v>403</v>
      </c>
      <c r="AJ108" s="2" t="s">
        <v>939</v>
      </c>
      <c r="AK108" s="2" t="s">
        <v>50</v>
      </c>
    </row>
    <row r="109" spans="1:37" ht="15" customHeight="1">
      <c r="A109">
        <v>107</v>
      </c>
      <c r="B109" s="2" t="s">
        <v>940</v>
      </c>
      <c r="C109" s="2" t="s">
        <v>941</v>
      </c>
      <c r="D109" s="2"/>
      <c r="E109" s="2" t="s">
        <v>39</v>
      </c>
      <c r="F109" s="2" t="s">
        <v>62</v>
      </c>
      <c r="G109" s="3">
        <v>367000</v>
      </c>
      <c r="H109" s="4"/>
      <c r="I109" s="5">
        <v>10000</v>
      </c>
      <c r="J109" s="2" t="s">
        <v>948</v>
      </c>
      <c r="K109" s="2" t="s">
        <v>952</v>
      </c>
      <c r="L109" s="2" t="s">
        <v>44</v>
      </c>
      <c r="M109" s="2" t="s">
        <v>45</v>
      </c>
      <c r="N109" s="2" t="s">
        <v>944</v>
      </c>
      <c r="O109" s="2" t="s">
        <v>945</v>
      </c>
      <c r="P109" s="2" t="s">
        <v>943</v>
      </c>
      <c r="Q109" s="2" t="s">
        <v>946</v>
      </c>
      <c r="R109" s="2"/>
      <c r="S109" s="2" t="s">
        <v>942</v>
      </c>
      <c r="T109" s="2"/>
      <c r="U109" s="2" t="s">
        <v>86</v>
      </c>
      <c r="V109" s="10" t="s">
        <v>35</v>
      </c>
      <c r="W109" s="11"/>
      <c r="X109" s="2" t="s">
        <v>417</v>
      </c>
      <c r="Y109" s="10" t="s">
        <v>79</v>
      </c>
      <c r="Z109" s="12"/>
      <c r="AA109" s="11"/>
      <c r="AB109" s="10"/>
      <c r="AC109" s="12"/>
      <c r="AD109" s="11"/>
      <c r="AE109" s="2"/>
      <c r="AF109" s="2"/>
      <c r="AG109" s="2"/>
      <c r="AH109" s="2"/>
      <c r="AI109" s="2" t="s">
        <v>61</v>
      </c>
      <c r="AJ109" s="2" t="s">
        <v>947</v>
      </c>
      <c r="AK109" s="2"/>
    </row>
    <row r="110" spans="1:37">
      <c r="J110" s="6"/>
    </row>
    <row r="112" spans="1:37">
      <c r="K112" s="9"/>
    </row>
    <row r="168" spans="18:18">
      <c r="R168" s="7"/>
    </row>
    <row r="169" spans="18:18">
      <c r="R169" s="7"/>
    </row>
    <row r="170" spans="18:18">
      <c r="R170" s="7"/>
    </row>
    <row r="171" spans="18:18">
      <c r="R171" s="7"/>
    </row>
  </sheetData>
  <sortState xmlns:xlrd2="http://schemas.microsoft.com/office/spreadsheetml/2017/richdata2" ref="R117:R228">
    <sortCondition ref="R116"/>
  </sortState>
  <mergeCells count="324">
    <mergeCell ref="V4:W4"/>
    <mergeCell ref="Y4:AA4"/>
    <mergeCell ref="AB4:AD4"/>
    <mergeCell ref="V5:W5"/>
    <mergeCell ref="Y5:AA5"/>
    <mergeCell ref="AB5:AD5"/>
    <mergeCell ref="V2:W2"/>
    <mergeCell ref="Y2:AA2"/>
    <mergeCell ref="AB2:AD2"/>
    <mergeCell ref="V3:W3"/>
    <mergeCell ref="Y3:AA3"/>
    <mergeCell ref="AB3:AD3"/>
    <mergeCell ref="V8:W8"/>
    <mergeCell ref="Y8:AA8"/>
    <mergeCell ref="AB8:AD8"/>
    <mergeCell ref="V9:W9"/>
    <mergeCell ref="Y9:AA9"/>
    <mergeCell ref="AB9:AD9"/>
    <mergeCell ref="V6:W6"/>
    <mergeCell ref="Y6:AA6"/>
    <mergeCell ref="AB6:AD6"/>
    <mergeCell ref="V7:W7"/>
    <mergeCell ref="Y7:AA7"/>
    <mergeCell ref="AB7:AD7"/>
    <mergeCell ref="V12:W12"/>
    <mergeCell ref="Y12:AA12"/>
    <mergeCell ref="AB12:AD12"/>
    <mergeCell ref="V13:W13"/>
    <mergeCell ref="Y13:AA13"/>
    <mergeCell ref="AB13:AD13"/>
    <mergeCell ref="V10:W10"/>
    <mergeCell ref="Y10:AA10"/>
    <mergeCell ref="AB10:AD10"/>
    <mergeCell ref="V11:W11"/>
    <mergeCell ref="Y11:AA11"/>
    <mergeCell ref="AB11:AD11"/>
    <mergeCell ref="V16:W16"/>
    <mergeCell ref="Y16:AA16"/>
    <mergeCell ref="AB16:AD16"/>
    <mergeCell ref="V17:W17"/>
    <mergeCell ref="Y17:AA17"/>
    <mergeCell ref="AB17:AD17"/>
    <mergeCell ref="V14:W14"/>
    <mergeCell ref="Y14:AA14"/>
    <mergeCell ref="AB14:AD14"/>
    <mergeCell ref="V15:W15"/>
    <mergeCell ref="Y15:AA15"/>
    <mergeCell ref="AB15:AD15"/>
    <mergeCell ref="V20:W20"/>
    <mergeCell ref="Y20:AA20"/>
    <mergeCell ref="AB20:AD20"/>
    <mergeCell ref="V21:W21"/>
    <mergeCell ref="Y21:AA21"/>
    <mergeCell ref="AB21:AD21"/>
    <mergeCell ref="V18:W18"/>
    <mergeCell ref="Y18:AA18"/>
    <mergeCell ref="AB18:AD18"/>
    <mergeCell ref="V19:W19"/>
    <mergeCell ref="Y19:AA19"/>
    <mergeCell ref="AB19:AD19"/>
    <mergeCell ref="V24:W24"/>
    <mergeCell ref="Y24:AA24"/>
    <mergeCell ref="AB24:AD24"/>
    <mergeCell ref="V25:W25"/>
    <mergeCell ref="Y25:AA25"/>
    <mergeCell ref="AB25:AD25"/>
    <mergeCell ref="V22:W22"/>
    <mergeCell ref="Y22:AA22"/>
    <mergeCell ref="AB22:AD22"/>
    <mergeCell ref="V23:W23"/>
    <mergeCell ref="Y23:AA23"/>
    <mergeCell ref="AB23:AD23"/>
    <mergeCell ref="V28:W28"/>
    <mergeCell ref="Y28:AA28"/>
    <mergeCell ref="AB28:AD28"/>
    <mergeCell ref="V29:W29"/>
    <mergeCell ref="Y29:AA29"/>
    <mergeCell ref="AB29:AD29"/>
    <mergeCell ref="V26:W26"/>
    <mergeCell ref="Y26:AA26"/>
    <mergeCell ref="AB26:AD26"/>
    <mergeCell ref="V27:W27"/>
    <mergeCell ref="Y27:AA27"/>
    <mergeCell ref="AB27:AD27"/>
    <mergeCell ref="V32:W32"/>
    <mergeCell ref="Y32:AA32"/>
    <mergeCell ref="AB32:AD32"/>
    <mergeCell ref="V33:W33"/>
    <mergeCell ref="Y33:AA33"/>
    <mergeCell ref="AB33:AD33"/>
    <mergeCell ref="V30:W30"/>
    <mergeCell ref="Y30:AA30"/>
    <mergeCell ref="AB30:AD30"/>
    <mergeCell ref="V31:W31"/>
    <mergeCell ref="Y31:AA31"/>
    <mergeCell ref="AB31:AD31"/>
    <mergeCell ref="V36:W36"/>
    <mergeCell ref="Y36:AA36"/>
    <mergeCell ref="AB36:AD36"/>
    <mergeCell ref="V37:W37"/>
    <mergeCell ref="Y37:AA37"/>
    <mergeCell ref="AB37:AD37"/>
    <mergeCell ref="V34:W34"/>
    <mergeCell ref="Y34:AA34"/>
    <mergeCell ref="AB34:AD34"/>
    <mergeCell ref="V35:W35"/>
    <mergeCell ref="Y35:AA35"/>
    <mergeCell ref="AB35:AD35"/>
    <mergeCell ref="V40:W40"/>
    <mergeCell ref="Y40:AA40"/>
    <mergeCell ref="AB40:AD40"/>
    <mergeCell ref="V41:W41"/>
    <mergeCell ref="Y41:AA41"/>
    <mergeCell ref="AB41:AD41"/>
    <mergeCell ref="V38:W38"/>
    <mergeCell ref="Y38:AA38"/>
    <mergeCell ref="AB38:AD38"/>
    <mergeCell ref="V39:W39"/>
    <mergeCell ref="Y39:AA39"/>
    <mergeCell ref="AB39:AD39"/>
    <mergeCell ref="V44:W44"/>
    <mergeCell ref="Y44:AA44"/>
    <mergeCell ref="AB44:AD44"/>
    <mergeCell ref="V45:W45"/>
    <mergeCell ref="Y45:AA45"/>
    <mergeCell ref="AB45:AD45"/>
    <mergeCell ref="V42:W42"/>
    <mergeCell ref="Y42:AA42"/>
    <mergeCell ref="AB42:AD42"/>
    <mergeCell ref="V43:W43"/>
    <mergeCell ref="Y43:AA43"/>
    <mergeCell ref="AB43:AD43"/>
    <mergeCell ref="V48:W48"/>
    <mergeCell ref="Y48:AA48"/>
    <mergeCell ref="AB48:AD48"/>
    <mergeCell ref="V49:W49"/>
    <mergeCell ref="Y49:AA49"/>
    <mergeCell ref="AB49:AD49"/>
    <mergeCell ref="V46:W46"/>
    <mergeCell ref="Y46:AA46"/>
    <mergeCell ref="AB46:AD46"/>
    <mergeCell ref="V47:W47"/>
    <mergeCell ref="Y47:AA47"/>
    <mergeCell ref="AB47:AD47"/>
    <mergeCell ref="V52:W52"/>
    <mergeCell ref="Y52:AA52"/>
    <mergeCell ref="AB52:AD52"/>
    <mergeCell ref="V53:W53"/>
    <mergeCell ref="Y53:AA53"/>
    <mergeCell ref="AB53:AD53"/>
    <mergeCell ref="V50:W50"/>
    <mergeCell ref="Y50:AA50"/>
    <mergeCell ref="AB50:AD50"/>
    <mergeCell ref="V51:W51"/>
    <mergeCell ref="Y51:AA51"/>
    <mergeCell ref="AB51:AD51"/>
    <mergeCell ref="V56:W56"/>
    <mergeCell ref="Y56:AA56"/>
    <mergeCell ref="AB56:AD56"/>
    <mergeCell ref="V57:W57"/>
    <mergeCell ref="Y57:AA57"/>
    <mergeCell ref="AB57:AD57"/>
    <mergeCell ref="V54:W54"/>
    <mergeCell ref="Y54:AA54"/>
    <mergeCell ref="AB54:AD54"/>
    <mergeCell ref="V55:W55"/>
    <mergeCell ref="Y55:AA55"/>
    <mergeCell ref="AB55:AD55"/>
    <mergeCell ref="V60:W60"/>
    <mergeCell ref="Y60:AA60"/>
    <mergeCell ref="AB60:AD60"/>
    <mergeCell ref="V61:W61"/>
    <mergeCell ref="Y61:AA61"/>
    <mergeCell ref="AB61:AD61"/>
    <mergeCell ref="V58:W58"/>
    <mergeCell ref="Y58:AA58"/>
    <mergeCell ref="AB58:AD58"/>
    <mergeCell ref="V59:W59"/>
    <mergeCell ref="Y59:AA59"/>
    <mergeCell ref="AB59:AD59"/>
    <mergeCell ref="V64:W64"/>
    <mergeCell ref="Y64:AA64"/>
    <mergeCell ref="AB64:AD64"/>
    <mergeCell ref="V65:W65"/>
    <mergeCell ref="Y65:AA65"/>
    <mergeCell ref="AB65:AD65"/>
    <mergeCell ref="V62:W62"/>
    <mergeCell ref="Y62:AA62"/>
    <mergeCell ref="AB62:AD62"/>
    <mergeCell ref="V63:W63"/>
    <mergeCell ref="Y63:AA63"/>
    <mergeCell ref="AB63:AD63"/>
    <mergeCell ref="V68:W68"/>
    <mergeCell ref="Y68:AA68"/>
    <mergeCell ref="AB68:AD68"/>
    <mergeCell ref="V69:W69"/>
    <mergeCell ref="Y69:AA69"/>
    <mergeCell ref="AB69:AD69"/>
    <mergeCell ref="V66:W66"/>
    <mergeCell ref="Y66:AA66"/>
    <mergeCell ref="AB66:AD66"/>
    <mergeCell ref="V67:W67"/>
    <mergeCell ref="Y67:AA67"/>
    <mergeCell ref="AB67:AD67"/>
    <mergeCell ref="V72:W72"/>
    <mergeCell ref="Y72:AA72"/>
    <mergeCell ref="AB72:AD72"/>
    <mergeCell ref="V73:W73"/>
    <mergeCell ref="Y73:AA73"/>
    <mergeCell ref="AB73:AD73"/>
    <mergeCell ref="V70:W70"/>
    <mergeCell ref="Y70:AA70"/>
    <mergeCell ref="AB70:AD70"/>
    <mergeCell ref="V71:W71"/>
    <mergeCell ref="Y71:AA71"/>
    <mergeCell ref="AB71:AD71"/>
    <mergeCell ref="V76:W76"/>
    <mergeCell ref="Y76:AA76"/>
    <mergeCell ref="AB76:AD76"/>
    <mergeCell ref="V77:W77"/>
    <mergeCell ref="Y77:AA77"/>
    <mergeCell ref="AB77:AD77"/>
    <mergeCell ref="V74:W74"/>
    <mergeCell ref="Y74:AA74"/>
    <mergeCell ref="AB74:AD74"/>
    <mergeCell ref="V75:W75"/>
    <mergeCell ref="Y75:AA75"/>
    <mergeCell ref="AB75:AD75"/>
    <mergeCell ref="V80:W80"/>
    <mergeCell ref="Y80:AA80"/>
    <mergeCell ref="AB80:AD80"/>
    <mergeCell ref="V81:W81"/>
    <mergeCell ref="Y81:AA81"/>
    <mergeCell ref="AB81:AD81"/>
    <mergeCell ref="V78:W78"/>
    <mergeCell ref="Y78:AA78"/>
    <mergeCell ref="AB78:AD78"/>
    <mergeCell ref="V79:W79"/>
    <mergeCell ref="Y79:AA79"/>
    <mergeCell ref="AB79:AD79"/>
    <mergeCell ref="V84:W84"/>
    <mergeCell ref="Y84:AA84"/>
    <mergeCell ref="AB84:AD84"/>
    <mergeCell ref="V85:W85"/>
    <mergeCell ref="Y85:AA85"/>
    <mergeCell ref="AB85:AD85"/>
    <mergeCell ref="V82:W82"/>
    <mergeCell ref="Y82:AA82"/>
    <mergeCell ref="AB82:AD82"/>
    <mergeCell ref="V83:W83"/>
    <mergeCell ref="Y83:AA83"/>
    <mergeCell ref="AB83:AD83"/>
    <mergeCell ref="V88:W88"/>
    <mergeCell ref="Y88:AA88"/>
    <mergeCell ref="AB88:AD88"/>
    <mergeCell ref="V89:W89"/>
    <mergeCell ref="Y89:AA89"/>
    <mergeCell ref="AB89:AD89"/>
    <mergeCell ref="V86:W86"/>
    <mergeCell ref="Y86:AA86"/>
    <mergeCell ref="AB86:AD86"/>
    <mergeCell ref="V87:W87"/>
    <mergeCell ref="Y87:AA87"/>
    <mergeCell ref="AB87:AD87"/>
    <mergeCell ref="V92:W92"/>
    <mergeCell ref="Y92:AA92"/>
    <mergeCell ref="AB92:AD92"/>
    <mergeCell ref="V93:W93"/>
    <mergeCell ref="Y93:AA93"/>
    <mergeCell ref="AB93:AD93"/>
    <mergeCell ref="V90:W90"/>
    <mergeCell ref="Y90:AA90"/>
    <mergeCell ref="AB90:AD90"/>
    <mergeCell ref="V91:W91"/>
    <mergeCell ref="Y91:AA91"/>
    <mergeCell ref="AB91:AD91"/>
    <mergeCell ref="V96:W96"/>
    <mergeCell ref="Y96:AA96"/>
    <mergeCell ref="AB96:AD96"/>
    <mergeCell ref="V97:W97"/>
    <mergeCell ref="Y97:AA97"/>
    <mergeCell ref="AB97:AD97"/>
    <mergeCell ref="V94:W94"/>
    <mergeCell ref="Y94:AA94"/>
    <mergeCell ref="AB94:AD94"/>
    <mergeCell ref="V95:W95"/>
    <mergeCell ref="Y95:AA95"/>
    <mergeCell ref="AB95:AD95"/>
    <mergeCell ref="V100:W100"/>
    <mergeCell ref="Y100:AA100"/>
    <mergeCell ref="AB100:AD100"/>
    <mergeCell ref="V101:W101"/>
    <mergeCell ref="Y101:AA101"/>
    <mergeCell ref="AB101:AD101"/>
    <mergeCell ref="V98:W98"/>
    <mergeCell ref="Y98:AA98"/>
    <mergeCell ref="AB98:AD98"/>
    <mergeCell ref="V99:W99"/>
    <mergeCell ref="Y99:AA99"/>
    <mergeCell ref="AB99:AD99"/>
    <mergeCell ref="V104:W104"/>
    <mergeCell ref="Y104:AA104"/>
    <mergeCell ref="AB104:AD104"/>
    <mergeCell ref="V105:W105"/>
    <mergeCell ref="Y105:AA105"/>
    <mergeCell ref="AB105:AD105"/>
    <mergeCell ref="V102:W102"/>
    <mergeCell ref="Y102:AA102"/>
    <mergeCell ref="AB102:AD102"/>
    <mergeCell ref="V103:W103"/>
    <mergeCell ref="Y103:AA103"/>
    <mergeCell ref="AB103:AD103"/>
    <mergeCell ref="V108:W108"/>
    <mergeCell ref="Y108:AA108"/>
    <mergeCell ref="AB108:AD108"/>
    <mergeCell ref="V109:W109"/>
    <mergeCell ref="Y109:AA109"/>
    <mergeCell ref="AB109:AD109"/>
    <mergeCell ref="V106:W106"/>
    <mergeCell ref="Y106:AA106"/>
    <mergeCell ref="AB106:AD106"/>
    <mergeCell ref="V107:W107"/>
    <mergeCell ref="Y107:AA107"/>
    <mergeCell ref="AB107:AD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2BC0-4D53-4A80-A1B6-67A4CAD67DE6}">
  <dimension ref="A1:I8"/>
  <sheetViews>
    <sheetView tabSelected="1" workbookViewId="0">
      <selection activeCell="E8" sqref="E8"/>
    </sheetView>
  </sheetViews>
  <sheetFormatPr defaultRowHeight="14.25"/>
  <cols>
    <col min="2" max="2" width="30.625" style="16" customWidth="1"/>
    <col min="3" max="3" width="21" bestFit="1" customWidth="1"/>
    <col min="4" max="4" width="17.125" bestFit="1" customWidth="1"/>
  </cols>
  <sheetData>
    <row r="1" spans="1:9" ht="21">
      <c r="A1" t="s">
        <v>955</v>
      </c>
      <c r="B1" s="14" t="s">
        <v>20</v>
      </c>
      <c r="C1" t="s">
        <v>956</v>
      </c>
      <c r="D1" t="s">
        <v>957</v>
      </c>
      <c r="E1" t="s">
        <v>958</v>
      </c>
      <c r="I1" t="s">
        <v>959</v>
      </c>
    </row>
    <row r="2" spans="1:9">
      <c r="A2">
        <v>1</v>
      </c>
      <c r="B2" s="15" t="s">
        <v>42</v>
      </c>
      <c r="C2">
        <f>COUNTIF('CRM Opportunities'!J:J,Summary!B2)</f>
        <v>7</v>
      </c>
      <c r="D2" s="17">
        <f t="array" ref="D2">SUM(IF('CRM Opportunities'!J:J=$B2,'CRM Opportunities'!G:G))</f>
        <v>625620</v>
      </c>
      <c r="E2" t="str">
        <f>TEXT(C2,"#,##0")&amp;" Opportunities;
"&amp;TEXT(D2/1000,"$#,##0k")&amp;" Revenue"</f>
        <v>7 Opportunities;
$626k Revenue</v>
      </c>
      <c r="I2">
        <f t="shared" ref="I2:I5" si="0">D2/SUM($D$2:$D$5)</f>
        <v>0.18902676914184433</v>
      </c>
    </row>
    <row r="3" spans="1:9" ht="21">
      <c r="A3">
        <v>2</v>
      </c>
      <c r="B3" s="15" t="s">
        <v>80</v>
      </c>
      <c r="C3">
        <f>COUNTIF('CRM Opportunities'!J:J,Summary!B3)</f>
        <v>23</v>
      </c>
      <c r="D3" s="17">
        <f t="array" ref="D3">SUM(IF('CRM Opportunities'!J:J=$B3,'CRM Opportunities'!G:G))</f>
        <v>156659.26</v>
      </c>
      <c r="E3" t="str">
        <f t="shared" ref="E3:E5" si="1">TEXT(C3,"#,##0")&amp;" Opportunities;
"&amp;TEXT(D3/1000,"$#,##0k")&amp;" Revenue"</f>
        <v>23 Opportunities;
$157k Revenue</v>
      </c>
      <c r="I3">
        <f t="shared" si="0"/>
        <v>4.7333515191253749E-2</v>
      </c>
    </row>
    <row r="4" spans="1:9" ht="21">
      <c r="A4">
        <v>3</v>
      </c>
      <c r="B4" s="15" t="s">
        <v>91</v>
      </c>
      <c r="C4">
        <f>COUNTIF('CRM Opportunities'!J:J,Summary!B4)</f>
        <v>76</v>
      </c>
      <c r="D4" s="17">
        <f t="array" ref="D4">SUM(IF('CRM Opportunities'!J:J=$B4,'CRM Opportunities'!G:G))</f>
        <v>2160410.7000000002</v>
      </c>
      <c r="E4" t="str">
        <f t="shared" si="1"/>
        <v>76 Opportunities;
$2,160k Revenue</v>
      </c>
      <c r="I4">
        <f>D4/SUM($D$2:$D$5)</f>
        <v>0.65275319625406858</v>
      </c>
    </row>
    <row r="5" spans="1:9" ht="21">
      <c r="A5">
        <v>4</v>
      </c>
      <c r="B5" s="15" t="s">
        <v>948</v>
      </c>
      <c r="C5">
        <f>COUNTIF('CRM Opportunities'!J:J,Summary!B5)</f>
        <v>1</v>
      </c>
      <c r="D5" s="17">
        <f t="array" ref="D5">SUM(IF('CRM Opportunities'!J:J=$B5,'CRM Opportunities'!G:G))</f>
        <v>367000</v>
      </c>
      <c r="E5" t="str">
        <f t="shared" si="1"/>
        <v>1 Opportunities;
$367k Revenue</v>
      </c>
      <c r="I5">
        <f t="shared" ref="I5" si="2">D5/SUM($D$2:$D$5)</f>
        <v>0.11088651941283346</v>
      </c>
    </row>
    <row r="8" spans="1:9">
      <c r="E8" t="s">
        <v>960</v>
      </c>
    </row>
  </sheetData>
  <sortState xmlns:xlrd2="http://schemas.microsoft.com/office/spreadsheetml/2017/richdata2" ref="B2:B5">
    <sortCondition ref="B2:B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CRM Opportunities</vt:lpstr>
      <vt:lpstr>Summary</vt:lpstr>
      <vt:lpstr>Main_OpportunityID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Rylan Grady</dc:creator>
  <cp:lastModifiedBy>Rylan Grady</cp:lastModifiedBy>
  <dcterms:created xsi:type="dcterms:W3CDTF">2020-04-30T02:11:29Z</dcterms:created>
  <dcterms:modified xsi:type="dcterms:W3CDTF">2026-02-21T20:02:05Z</dcterms:modified>
</cp:coreProperties>
</file>